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Instructions" sheetId="1" state="visible" r:id="rId1"/>
    <sheet name="2. Environment" sheetId="2" state="visible" r:id="rId2"/>
    <sheet name="3. Test Cases" sheetId="3" state="visible" r:id="rId3"/>
    <sheet name="4. Sign-off" sheetId="4" state="visible" r:id="rId4"/>
    <sheet name="5. Defect Log" sheetId="5" state="visible" r:id="rId5"/>
  </sheets>
  <definedNames>
    <definedName name="_xlnm.Print_Titles" localSheetId="0">'1. Instructions'!$1:$2</definedName>
    <definedName name="_xlnm._FilterDatabase" localSheetId="2" hidden="1">'3. Test Cases'!$A$3:$J$3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7500A"/>
      <sz val="16"/>
    </font>
    <font>
      <name val="Calibri"/>
      <i val="1"/>
      <color rgb="007d857a"/>
      <sz val="11"/>
    </font>
    <font>
      <name val="Calibri"/>
      <b val="1"/>
      <sz val="11"/>
    </font>
    <font>
      <name val="Calibri"/>
      <b val="1"/>
      <color rgb="0027500A"/>
      <sz val="11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AF3DE"/>
      </patternFill>
    </fill>
    <fill>
      <patternFill patternType="solid">
        <fgColor rgb="003B6D11"/>
      </patternFill>
    </fill>
    <fill>
      <patternFill patternType="solid">
        <fgColor rgb="00F8FA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0DD97"/>
      </left>
      <right style="thin">
        <color rgb="00C0DD97"/>
      </right>
      <top style="thin">
        <color rgb="00C0DD97"/>
      </top>
      <bottom style="thin">
        <color rgb="00C0DD9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14" customWidth="1" min="4" max="4"/>
    <col width="28" customWidth="1" min="5" max="5"/>
    <col width="20" customWidth="1" min="6" max="6"/>
  </cols>
  <sheetData>
    <row r="1" ht="24" customHeight="1">
      <c r="A1" s="1" t="inlineStr">
        <is>
          <t>Urb TecTrack™ — Client Portal UAT Checklist</t>
        </is>
      </c>
    </row>
    <row r="2">
      <c r="A2" s="2" t="inlineStr">
        <is>
          <t>For testers with Client access only · Capture results in this workbook and return to Urbeno</t>
        </is>
      </c>
    </row>
    <row r="4">
      <c r="A4" s="3" t="inlineStr">
        <is>
          <t>Document version</t>
        </is>
      </c>
      <c r="B4" s="4" t="inlineStr">
        <is>
          <t>1.0</t>
        </is>
      </c>
    </row>
    <row r="5">
      <c r="A5" s="3" t="inlineStr">
        <is>
          <t>Audience</t>
        </is>
      </c>
      <c r="B5" s="4" t="inlineStr">
        <is>
          <t>Client portal users (requestors) — not Urbeno staff</t>
        </is>
      </c>
    </row>
    <row r="6">
      <c r="A6" s="3" t="inlineStr">
        <is>
          <t>Purpose</t>
        </is>
      </c>
      <c r="B6" s="4" t="inlineStr">
        <is>
          <t>Validate client-facing features before production / go-live sign-off</t>
        </is>
      </c>
    </row>
    <row r="7">
      <c r="A7" s="3" t="inlineStr">
        <is>
          <t>How to use</t>
        </is>
      </c>
      <c r="B7" s="4" t="inlineStr">
        <is>
          <t>1) Fill Environment on sheet 2. 2) Execute cases on sheet 3. 3) Mark Result for every row. 4) Complete Sign-off on sheet 4.</t>
        </is>
      </c>
    </row>
    <row r="8">
      <c r="A8" s="3" t="inlineStr">
        <is>
          <t>Result values</t>
        </is>
      </c>
      <c r="B8" s="4" t="inlineStr">
        <is>
          <t>Pass = works as expected · Fail = defect · N/A = not applicable this round · Blocked = cannot run (dependency / environment)</t>
        </is>
      </c>
    </row>
    <row r="9">
      <c r="A9" s="3" t="inlineStr">
        <is>
          <t>Nav expected</t>
        </is>
      </c>
      <c r="B9" s="4" t="inlineStr">
        <is>
          <t>Home · My Requests · Recycling Heroes · Sustainability · Reports  (no Masters, Audit, Capacity, or Compliance)</t>
        </is>
      </c>
    </row>
    <row r="11">
      <c r="A11" s="5" t="inlineStr">
        <is>
          <t>Demo accounts (UAT environments)</t>
        </is>
      </c>
    </row>
    <row r="12">
      <c r="A12" s="6" t="inlineStr">
        <is>
          <t>Organisation</t>
        </is>
      </c>
      <c r="B12" s="6" t="inlineStr">
        <is>
          <t>Email</t>
        </is>
      </c>
      <c r="C12" s="6" t="inlineStr">
        <is>
          <t>Name</t>
        </is>
      </c>
      <c r="D12" s="6" t="inlineStr">
        <is>
          <t>Password</t>
        </is>
      </c>
      <c r="E12" s="6" t="inlineStr">
        <is>
          <t>Notes</t>
        </is>
      </c>
    </row>
    <row r="13">
      <c r="A13" s="7" t="inlineStr">
        <is>
          <t>TechCorp Pvt Ltd (TCPL)</t>
        </is>
      </c>
      <c r="B13" s="7" t="inlineStr">
        <is>
          <t>ramesh@techcorp.in</t>
        </is>
      </c>
      <c r="C13" s="7" t="inlineStr">
        <is>
          <t>Ramesh Kumar</t>
        </is>
      </c>
      <c r="D13" s="7" t="inlineStr">
        <is>
          <t>demo</t>
        </is>
      </c>
      <c r="E13" s="7" t="inlineStr">
        <is>
          <t>Primary client tester</t>
        </is>
      </c>
    </row>
    <row r="14">
      <c r="A14" s="7" t="inlineStr">
        <is>
          <t>TechCorp Pvt Ltd (TCPL)</t>
        </is>
      </c>
      <c r="B14" s="7" t="inlineStr">
        <is>
          <t>priya@techcorp.in</t>
        </is>
      </c>
      <c r="C14" s="7" t="inlineStr">
        <is>
          <t>Priya Sharma</t>
        </is>
      </c>
      <c r="D14" s="7" t="inlineStr">
        <is>
          <t>demo</t>
        </is>
      </c>
      <c r="E14" s="7" t="inlineStr">
        <is>
          <t>Second TechCorp user</t>
        </is>
      </c>
    </row>
    <row r="15">
      <c r="A15" s="7" t="inlineStr">
        <is>
          <t>Bharat Retail (BHRT)</t>
        </is>
      </c>
      <c r="B15" s="7" t="inlineStr">
        <is>
          <t>anand@bharatretail.in</t>
        </is>
      </c>
      <c r="C15" s="7" t="inlineStr">
        <is>
          <t>Anand Desai</t>
        </is>
      </c>
      <c r="D15" s="7" t="inlineStr">
        <is>
          <t>demo</t>
        </is>
      </c>
      <c r="E15" s="7" t="inlineStr">
        <is>
          <t>Alternate client org</t>
        </is>
      </c>
    </row>
    <row r="16">
      <c r="A16" s="7" t="inlineStr">
        <is>
          <t>Infosoft (INFR)</t>
        </is>
      </c>
      <c r="B16" s="7" t="inlineStr">
        <is>
          <t>meera@infosoft.in</t>
        </is>
      </c>
      <c r="C16" s="7" t="inlineStr">
        <is>
          <t>Meera Iyer</t>
        </is>
      </c>
      <c r="D16" s="7" t="inlineStr">
        <is>
          <t>demo</t>
        </is>
      </c>
      <c r="E16" s="7" t="inlineStr">
        <is>
          <t>Use for tenancy negative checks</t>
        </is>
      </c>
    </row>
    <row r="18">
      <c r="A18" s="5" t="inlineStr">
        <is>
          <t>Important rules for client testers</t>
        </is>
      </c>
    </row>
    <row r="19">
      <c r="A19" s="8" t="inlineStr">
        <is>
          <t>•</t>
        </is>
      </c>
      <c r="B19" s="4" t="inlineStr">
        <is>
          <t>You only see your own organisation’s requests, certificates, and reports.</t>
        </is>
      </c>
    </row>
    <row r="20">
      <c r="A20" s="8" t="inlineStr">
        <is>
          <t>•</t>
        </is>
      </c>
      <c r="B20" s="4" t="inlineStr">
        <is>
          <t>You cannot create MRNs, issue Form 6, or upload Certificates of Destruction — those are Urbeno / factory steps.</t>
        </is>
      </c>
    </row>
    <row r="21">
      <c r="A21" s="8" t="inlineStr">
        <is>
          <t>•</t>
        </is>
      </c>
      <c r="B21" s="4" t="inlineStr">
        <is>
          <t>Review &amp; Close is only available after the Certificate of Destruction is on file and the invoice is fully paid.</t>
        </is>
      </c>
    </row>
    <row r="22">
      <c r="A22" s="8" t="inlineStr">
        <is>
          <t>•</t>
        </is>
      </c>
      <c r="B22" s="4" t="inlineStr">
        <is>
          <t>Sustainability and Recycling Heroes figures count closed invoices only.</t>
        </is>
      </c>
    </row>
    <row r="23">
      <c r="A23" s="8" t="inlineStr">
        <is>
          <t>•</t>
        </is>
      </c>
      <c r="B23" s="4" t="inlineStr">
        <is>
          <t>If a policy gate appears after login, open each policy and accept before continuing.</t>
        </is>
      </c>
    </row>
    <row r="24">
      <c r="A24" s="8" t="inlineStr">
        <is>
          <t>•</t>
        </is>
      </c>
      <c r="B24" s="4" t="inlineStr">
        <is>
          <t>Do not change the shared demo password unless you are the last tester of the day.</t>
        </is>
      </c>
    </row>
    <row r="26">
      <c r="A26" s="9" t="inlineStr">
        <is>
          <t>Support</t>
        </is>
      </c>
      <c r="B26" t="inlineStr">
        <is>
          <t>Raise issues in the request Query thread or email your Urbeno UAT contact. Attach screenshots for Fail / Blocked cases.</t>
        </is>
      </c>
    </row>
  </sheetData>
  <mergeCells count="17">
    <mergeCell ref="B4:F4"/>
    <mergeCell ref="A2:F2"/>
    <mergeCell ref="A11:F11"/>
    <mergeCell ref="B21:F21"/>
    <mergeCell ref="B7:F7"/>
    <mergeCell ref="B6:F6"/>
    <mergeCell ref="B24:F24"/>
    <mergeCell ref="B20:F20"/>
    <mergeCell ref="A1:F1"/>
    <mergeCell ref="B5:F5"/>
    <mergeCell ref="B19:F19"/>
    <mergeCell ref="B23:F23"/>
    <mergeCell ref="A18:F18"/>
    <mergeCell ref="B22:F22"/>
    <mergeCell ref="B8:F8"/>
    <mergeCell ref="B26:F26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8" customWidth="1" min="3" max="3"/>
  </cols>
  <sheetData>
    <row r="1">
      <c r="A1" s="1" t="inlineStr">
        <is>
          <t>Test environment &amp; tester details</t>
        </is>
      </c>
    </row>
    <row r="3">
      <c r="A3" s="10" t="inlineStr">
        <is>
          <t>Field</t>
        </is>
      </c>
      <c r="B3" s="10" t="inlineStr">
        <is>
          <t>Value</t>
        </is>
      </c>
      <c r="C3" s="10" t="inlineStr">
        <is>
          <t>Notes</t>
        </is>
      </c>
    </row>
    <row r="4" ht="22" customHeight="1">
      <c r="A4" s="11" t="inlineStr">
        <is>
          <t>Environment URL</t>
        </is>
      </c>
      <c r="B4" s="12" t="inlineStr"/>
      <c r="C4" s="12" t="inlineStr">
        <is>
          <t>e.g. https://uat.urbeno.in or http://localhost:8080</t>
        </is>
      </c>
    </row>
    <row r="5" ht="22" customHeight="1">
      <c r="A5" s="11" t="inlineStr">
        <is>
          <t>Build / release / git SHA</t>
        </is>
      </c>
      <c r="B5" s="12" t="inlineStr"/>
      <c r="C5" s="12" t="inlineStr"/>
    </row>
    <row r="6" ht="22" customHeight="1">
      <c r="A6" s="11" t="inlineStr">
        <is>
          <t>Tester full name</t>
        </is>
      </c>
      <c r="B6" s="12" t="inlineStr"/>
      <c r="C6" s="12" t="inlineStr"/>
    </row>
    <row r="7" ht="22" customHeight="1">
      <c r="A7" s="11" t="inlineStr">
        <is>
          <t>Tester organisation</t>
        </is>
      </c>
      <c r="B7" s="12" t="inlineStr"/>
      <c r="C7" s="12" t="inlineStr"/>
    </row>
    <row r="8" ht="22" customHeight="1">
      <c r="A8" s="11" t="inlineStr">
        <is>
          <t>Tester email</t>
        </is>
      </c>
      <c r="B8" s="12" t="inlineStr"/>
      <c r="C8" s="12" t="inlineStr"/>
    </row>
    <row r="9" ht="22" customHeight="1">
      <c r="A9" s="11" t="inlineStr">
        <is>
          <t>Account used for this run</t>
        </is>
      </c>
      <c r="B9" s="12" t="inlineStr">
        <is>
          <t>demo</t>
        </is>
      </c>
      <c r="C9" s="12" t="inlineStr">
        <is>
          <t>unless this environment rotated it</t>
        </is>
      </c>
    </row>
    <row r="10" ht="22" customHeight="1">
      <c r="A10" s="11" t="inlineStr">
        <is>
          <t>Password used</t>
        </is>
      </c>
      <c r="B10" s="12" t="inlineStr">
        <is>
          <t>2026-08-21</t>
        </is>
      </c>
      <c r="C10" s="12" t="inlineStr"/>
    </row>
    <row r="11" ht="22" customHeight="1">
      <c r="A11" s="11" t="inlineStr">
        <is>
          <t>Test date (IST)</t>
        </is>
      </c>
      <c r="B11" s="12" t="inlineStr"/>
      <c r="C11" s="12" t="inlineStr">
        <is>
          <t>e.g. Chrome on macOS / Edge on Windows</t>
        </is>
      </c>
    </row>
    <row r="12" ht="22" customHeight="1">
      <c r="A12" s="11" t="inlineStr">
        <is>
          <t>Browser / device</t>
        </is>
      </c>
      <c r="B12" s="12" t="inlineStr"/>
      <c r="C12" s="12" t="inlineStr">
        <is>
          <t>Optional — from cross-role lifecycle script</t>
        </is>
      </c>
    </row>
    <row r="13" ht="22" customHeight="1">
      <c r="A13" s="11" t="inlineStr">
        <is>
          <t>Shared lifecycle request ID (if any)</t>
        </is>
      </c>
      <c r="B13" s="12" t="inlineStr">
        <is>
          <t>REQ-__________</t>
        </is>
      </c>
      <c r="C13" s="12" t="inlineStr"/>
    </row>
    <row r="14" ht="22" customHeight="1">
      <c r="A14" s="11" t="inlineStr">
        <is>
          <t>Urbeno UAT contact</t>
        </is>
      </c>
      <c r="B14" s="12" t="inlineStr"/>
      <c r="C14" s="12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42" customWidth="1" min="3" max="3"/>
    <col width="48" customWidth="1" min="4" max="4"/>
    <col width="12" customWidth="1" min="5" max="5"/>
    <col width="28" customWidth="1" min="6" max="6"/>
    <col width="14" customWidth="1" min="7" max="7"/>
    <col width="12" customWidth="1" min="8" max="8"/>
    <col width="12" customWidth="1" min="9" max="9"/>
    <col width="24" customWidth="1" min="10" max="10"/>
  </cols>
  <sheetData>
    <row r="1">
      <c r="A1" s="1" t="inlineStr">
        <is>
          <t>Client portal test cases — mark Result for every row</t>
        </is>
      </c>
    </row>
    <row r="3" ht="30" customHeight="1">
      <c r="A3" s="10" t="inlineStr">
        <is>
          <t>Section</t>
        </is>
      </c>
      <c r="B3" s="10" t="inlineStr">
        <is>
          <t>ID</t>
        </is>
      </c>
      <c r="C3" s="10" t="inlineStr">
        <is>
          <t>Test step</t>
        </is>
      </c>
      <c r="D3" s="10" t="inlineStr">
        <is>
          <t>Expected result</t>
        </is>
      </c>
      <c r="E3" s="10" t="inlineStr">
        <is>
          <t>Result</t>
        </is>
      </c>
      <c r="F3" s="10" t="inlineStr">
        <is>
          <t>Actual result / evidence</t>
        </is>
      </c>
      <c r="G3" s="10" t="inlineStr">
        <is>
          <t>Severity (if Fail)</t>
        </is>
      </c>
      <c r="H3" s="10" t="inlineStr">
        <is>
          <t>Tester initials</t>
        </is>
      </c>
      <c r="I3" s="10" t="inlineStr">
        <is>
          <t>Date</t>
        </is>
      </c>
      <c r="J3" s="10" t="inlineStr">
        <is>
          <t>Notes</t>
        </is>
      </c>
    </row>
    <row r="4" ht="48" customHeight="1">
      <c r="A4" s="13" t="inlineStr">
        <is>
          <t>C0 Sign-in &amp; shell</t>
        </is>
      </c>
      <c r="B4" s="7" t="inlineStr">
        <is>
          <t>C0.1</t>
        </is>
      </c>
      <c r="C4" s="7" t="inlineStr">
        <is>
          <t>Open the portal URL while signed out.</t>
        </is>
      </c>
      <c r="D4" s="7" t="inlineStr">
        <is>
          <t>Login screen is shown. Enter your client email (not a pre-filled staff email) and password.</t>
        </is>
      </c>
      <c r="E4" s="7" t="inlineStr"/>
      <c r="F4" s="7" t="inlineStr"/>
      <c r="G4" s="7" t="inlineStr">
        <is>
          <t>High</t>
        </is>
      </c>
      <c r="H4" s="7" t="inlineStr"/>
      <c r="I4" s="7" t="inlineStr"/>
      <c r="J4" s="7" t="inlineStr"/>
    </row>
    <row r="5" ht="48" customHeight="1">
      <c r="A5" s="7" t="inlineStr">
        <is>
          <t>C0 Sign-in &amp; shell</t>
        </is>
      </c>
      <c r="B5" s="7" t="inlineStr">
        <is>
          <t>C0.2</t>
        </is>
      </c>
      <c r="C5" s="7" t="inlineStr">
        <is>
          <t>Sign in. If “Accept policies” appears, open each policy link, then accept.</t>
        </is>
      </c>
      <c r="D5" s="7" t="inlineStr">
        <is>
          <t>Policy gate clears. Home shows Welcome, &lt;first name&gt;. Subtitle shows Client portal.</t>
        </is>
      </c>
      <c r="E5" s="7" t="inlineStr"/>
      <c r="F5" s="7" t="inlineStr"/>
      <c r="G5" s="7" t="inlineStr">
        <is>
          <t>High</t>
        </is>
      </c>
      <c r="H5" s="7" t="inlineStr"/>
      <c r="I5" s="7" t="inlineStr"/>
      <c r="J5" s="7" t="inlineStr"/>
    </row>
    <row r="6" ht="48" customHeight="1">
      <c r="A6" s="13" t="inlineStr">
        <is>
          <t>C0 Sign-in &amp; shell</t>
        </is>
      </c>
      <c r="B6" s="7" t="inlineStr">
        <is>
          <t>C0.3</t>
        </is>
      </c>
      <c r="C6" s="7" t="inlineStr">
        <is>
          <t>Check the main navigation.</t>
        </is>
      </c>
      <c r="D6" s="7" t="inlineStr">
        <is>
          <t>Only: Home, My Requests, Recycling Heroes, Sustainability, Reports. No Masters, Audit, Capacity, Compliance.</t>
        </is>
      </c>
      <c r="E6" s="7" t="inlineStr"/>
      <c r="F6" s="7" t="inlineStr"/>
      <c r="G6" s="7" t="inlineStr">
        <is>
          <t>High</t>
        </is>
      </c>
      <c r="H6" s="7" t="inlineStr"/>
      <c r="I6" s="7" t="inlineStr"/>
      <c r="J6" s="7" t="inlineStr"/>
    </row>
    <row r="7" ht="48" customHeight="1">
      <c r="A7" s="7" t="inlineStr">
        <is>
          <t>C0 Sign-in &amp; shell</t>
        </is>
      </c>
      <c r="B7" s="7" t="inlineStr">
        <is>
          <t>C0.4</t>
        </is>
      </c>
      <c r="C7" s="7" t="inlineStr">
        <is>
          <t>Open profile (avatar / name chip).</t>
        </is>
      </c>
      <c r="D7" s="7" t="inlineStr">
        <is>
          <t>Role = Client. Organisation ID shown. Change-password (and MFA if offered) are available.</t>
        </is>
      </c>
      <c r="E7" s="7" t="inlineStr"/>
      <c r="F7" s="7" t="inlineStr"/>
      <c r="G7" s="7" t="inlineStr">
        <is>
          <t>Medium</t>
        </is>
      </c>
      <c r="H7" s="7" t="inlineStr"/>
      <c r="I7" s="7" t="inlineStr"/>
      <c r="J7" s="7" t="inlineStr"/>
    </row>
    <row r="8" ht="48" customHeight="1">
      <c r="A8" s="13" t="inlineStr">
        <is>
          <t>C0 Sign-in &amp; shell</t>
        </is>
      </c>
      <c r="B8" s="7" t="inlineStr">
        <is>
          <t>C0.5</t>
        </is>
      </c>
      <c r="C8" s="7" t="inlineStr">
        <is>
          <t>Logout, then sign in again.</t>
        </is>
      </c>
      <c r="D8" s="7" t="inlineStr">
        <is>
          <t>Returns to Home. Policies are not re-prompted unless a new version was published.</t>
        </is>
      </c>
      <c r="E8" s="7" t="inlineStr"/>
      <c r="F8" s="7" t="inlineStr"/>
      <c r="G8" s="7" t="inlineStr">
        <is>
          <t>Medium</t>
        </is>
      </c>
      <c r="H8" s="7" t="inlineStr"/>
      <c r="I8" s="7" t="inlineStr"/>
      <c r="J8" s="7" t="inlineStr"/>
    </row>
    <row r="9" ht="48" customHeight="1">
      <c r="A9" s="7" t="inlineStr">
        <is>
          <t>C1 Tenancy &amp; access</t>
        </is>
      </c>
      <c r="B9" s="7" t="inlineStr">
        <is>
          <t>C1.1</t>
        </is>
      </c>
      <c r="C9" s="7" t="inlineStr">
        <is>
          <t>Open My Requests and scan the list.</t>
        </is>
      </c>
      <c r="D9" s="7" t="inlineStr">
        <is>
          <t>Only your organisation’s requests appear. No other client’s request IDs.</t>
        </is>
      </c>
      <c r="E9" s="7" t="inlineStr"/>
      <c r="F9" s="7" t="inlineStr"/>
      <c r="G9" s="7" t="inlineStr">
        <is>
          <t>Critical</t>
        </is>
      </c>
      <c r="H9" s="7" t="inlineStr"/>
      <c r="I9" s="7" t="inlineStr"/>
      <c r="J9" s="7" t="inlineStr"/>
    </row>
    <row r="10" ht="48" customHeight="1">
      <c r="A10" s="13" t="inlineStr">
        <is>
          <t>C1 Tenancy &amp; access</t>
        </is>
      </c>
      <c r="B10" s="7" t="inlineStr">
        <is>
          <t>C1.2</t>
        </is>
      </c>
      <c r="C10" s="7" t="inlineStr">
        <is>
          <t>In the address bar open another organisation’s request URL (ask Urbeno for a foreign REQ- id, e.g. from Infosoft).</t>
        </is>
      </c>
      <c r="D10" s="7" t="inlineStr">
        <is>
          <t>Access refused or redirected. Must not show another client’s site / details.</t>
        </is>
      </c>
      <c r="E10" s="7" t="inlineStr"/>
      <c r="F10" s="7" t="inlineStr"/>
      <c r="G10" s="7" t="inlineStr">
        <is>
          <t>Critical</t>
        </is>
      </c>
      <c r="H10" s="7" t="inlineStr"/>
      <c r="I10" s="7" t="inlineStr"/>
      <c r="J10" s="7" t="inlineStr"/>
    </row>
    <row r="11" ht="48" customHeight="1">
      <c r="A11" s="7" t="inlineStr">
        <is>
          <t>C1 Tenancy &amp; access</t>
        </is>
      </c>
      <c r="B11" s="7" t="inlineStr">
        <is>
          <t>C1.3</t>
        </is>
      </c>
      <c r="C11" s="7" t="inlineStr">
        <is>
          <t>Open Reports and review available report types.</t>
        </is>
      </c>
      <c r="D11" s="7" t="inlineStr">
        <is>
          <t>Own-org data only. MRN Register is NOT listed (internal to Urbeno).</t>
        </is>
      </c>
      <c r="E11" s="7" t="inlineStr"/>
      <c r="F11" s="7" t="inlineStr"/>
      <c r="G11" s="7" t="inlineStr">
        <is>
          <t>High</t>
        </is>
      </c>
      <c r="H11" s="7" t="inlineStr"/>
      <c r="I11" s="7" t="inlineStr"/>
      <c r="J11" s="7" t="inlineStr"/>
    </row>
    <row r="12" ht="48" customHeight="1">
      <c r="A12" s="13" t="inlineStr">
        <is>
          <t>C1 Tenancy &amp; access</t>
        </is>
      </c>
      <c r="B12" s="7" t="inlineStr">
        <is>
          <t>C1.4</t>
        </is>
      </c>
      <c r="C12" s="7" t="inlineStr">
        <is>
          <t>Try direct URLs: /masters, /audit, /compliance, /capacity.</t>
        </is>
      </c>
      <c r="D12" s="7" t="inlineStr">
        <is>
          <t>Redirected to Home or not found. No staff master/audit/compliance screens.</t>
        </is>
      </c>
      <c r="E12" s="7" t="inlineStr"/>
      <c r="F12" s="7" t="inlineStr"/>
      <c r="G12" s="7" t="inlineStr">
        <is>
          <t>Critical</t>
        </is>
      </c>
      <c r="H12" s="7" t="inlineStr"/>
      <c r="I12" s="7" t="inlineStr"/>
      <c r="J12" s="7" t="inlineStr"/>
    </row>
    <row r="13" ht="48" customHeight="1">
      <c r="A13" s="7" t="inlineStr">
        <is>
          <t>C2 New request</t>
        </is>
      </c>
      <c r="B13" s="7" t="inlineStr">
        <is>
          <t>C2.1</t>
        </is>
      </c>
      <c r="C13" s="7" t="inlineStr">
        <is>
          <t>Home → + New Request (or My Requests → new).</t>
        </is>
      </c>
      <c r="D13" s="7" t="inlineStr">
        <is>
          <t>New Collection Request form. Client organisation is implied (no client picker). Site is required.</t>
        </is>
      </c>
      <c r="E13" s="7" t="inlineStr"/>
      <c r="F13" s="7" t="inlineStr"/>
      <c r="G13" s="7" t="inlineStr">
        <is>
          <t>High</t>
        </is>
      </c>
      <c r="H13" s="7" t="inlineStr"/>
      <c r="I13" s="7" t="inlineStr"/>
      <c r="J13" s="7" t="inlineStr"/>
    </row>
    <row r="14" ht="48" customHeight="1">
      <c r="A14" s="13" t="inlineStr">
        <is>
          <t>C2 New request</t>
        </is>
      </c>
      <c r="B14" s="7" t="inlineStr">
        <is>
          <t>C2.2</t>
        </is>
      </c>
      <c r="C14" s="7" t="inlineStr">
        <is>
          <t>Submit with required fields empty.</t>
        </is>
      </c>
      <c r="D14" s="7" t="inlineStr">
        <is>
          <t>Form stays open with validation errors (site, location, date, qty/weight and/or line items).</t>
        </is>
      </c>
      <c r="E14" s="7" t="inlineStr"/>
      <c r="F14" s="7" t="inlineStr"/>
      <c r="G14" s="7" t="inlineStr">
        <is>
          <t>Medium</t>
        </is>
      </c>
      <c r="H14" s="7" t="inlineStr"/>
      <c r="I14" s="7" t="inlineStr"/>
      <c r="J14" s="7" t="inlineStr"/>
    </row>
    <row r="15" ht="48" customHeight="1">
      <c r="A15" s="7" t="inlineStr">
        <is>
          <t>C2 New request</t>
        </is>
      </c>
      <c r="B15" s="7" t="inlineStr">
        <is>
          <t>C2.3</t>
        </is>
      </c>
      <c r="C15" s="7" t="inlineStr">
        <is>
          <t>Complete Pickup Location, approx weight &amp; qty, at least one line item (optional PO/ref/notes/BoM). Submit.</t>
        </is>
      </c>
      <c r="D15" s="7" t="inlineStr">
        <is>
          <t>Request detail opens with new REQ-#####. Stage = 1 (awaiting Urbeno acknowledgement).</t>
        </is>
      </c>
      <c r="E15" s="7" t="inlineStr"/>
      <c r="F15" s="7" t="inlineStr"/>
      <c r="G15" s="7" t="inlineStr">
        <is>
          <t>Critical</t>
        </is>
      </c>
      <c r="H15" s="7" t="inlineStr"/>
      <c r="I15" s="7" t="inlineStr"/>
      <c r="J15" s="7" t="inlineStr"/>
    </row>
    <row r="16" ht="48" customHeight="1">
      <c r="A16" s="13" t="inlineStr">
        <is>
          <t>C2 New request</t>
        </is>
      </c>
      <c r="B16" s="7" t="inlineStr">
        <is>
          <t>C2.4</t>
        </is>
      </c>
      <c r="C16" s="7" t="inlineStr">
        <is>
          <t>Confirm header on the new request.</t>
        </is>
      </c>
      <c r="D16" s="7" t="inlineStr">
        <is>
          <t>Shows your client, site, request date, Raised By = you. No staff actions (Acknowledge, Assign Vehicle, Raise Invoice, Upload Certificate).</t>
        </is>
      </c>
      <c r="E16" s="7" t="inlineStr"/>
      <c r="F16" s="7" t="inlineStr"/>
      <c r="G16" s="7" t="inlineStr">
        <is>
          <t>High</t>
        </is>
      </c>
      <c r="H16" s="7" t="inlineStr"/>
      <c r="I16" s="7" t="inlineStr"/>
      <c r="J16" s="7" t="inlineStr"/>
    </row>
    <row r="17" ht="48" customHeight="1">
      <c r="A17" s="7" t="inlineStr">
        <is>
          <t>C3 Changes requested</t>
        </is>
      </c>
      <c r="B17" s="7" t="inlineStr">
        <is>
          <t>C3.1</t>
        </is>
      </c>
      <c r="C17" s="7" t="inlineStr">
        <is>
          <t>After Urbeno sends the request back with changes: open it.</t>
        </is>
      </c>
      <c r="D17" s="7" t="inlineStr">
        <is>
          <t>Badge/card shows Changes requested with Urbeno’s note. (Mark N/A if not run this cycle.)</t>
        </is>
      </c>
      <c r="E17" s="7" t="inlineStr"/>
      <c r="F17" s="7" t="inlineStr"/>
      <c r="G17" s="7" t="inlineStr">
        <is>
          <t>Medium</t>
        </is>
      </c>
      <c r="H17" s="7" t="inlineStr"/>
      <c r="I17" s="7" t="inlineStr"/>
      <c r="J17" s="7" t="inlineStr"/>
    </row>
    <row r="18" ht="48" customHeight="1">
      <c r="A18" s="13" t="inlineStr">
        <is>
          <t>C3 Changes requested</t>
        </is>
      </c>
      <c r="B18" s="7" t="inlineStr">
        <is>
          <t>C3.2</t>
        </is>
      </c>
      <c r="C18" s="7" t="inlineStr">
        <is>
          <t>Edit pickup location (or other field) and Save / resubmit.</t>
        </is>
      </c>
      <c r="D18" s="7" t="inlineStr">
        <is>
          <t>Confirmation that request was sent back to Urbeno. Still stage 1. Client cannot Acknowledge.</t>
        </is>
      </c>
      <c r="E18" s="7" t="inlineStr"/>
      <c r="F18" s="7" t="inlineStr"/>
      <c r="G18" s="7" t="inlineStr">
        <is>
          <t>Medium</t>
        </is>
      </c>
      <c r="H18" s="7" t="inlineStr"/>
      <c r="I18" s="7" t="inlineStr"/>
      <c r="J18" s="7" t="inlineStr"/>
    </row>
    <row r="19" ht="48" customHeight="1">
      <c r="A19" s="7" t="inlineStr">
        <is>
          <t>C4 Ops visibility</t>
        </is>
      </c>
      <c r="B19" s="7" t="inlineStr">
        <is>
          <t>C4.1</t>
        </is>
      </c>
      <c r="C19" s="7" t="inlineStr">
        <is>
          <t>On an in-progress request, refresh after staff progress (vehicle / weigh / invoice).</t>
        </is>
      </c>
      <c r="D19" s="7" t="inlineStr">
        <is>
          <t>Stage badge advances. Vehicle registration and invoice number are visible when present.</t>
        </is>
      </c>
      <c r="E19" s="7" t="inlineStr"/>
      <c r="F19" s="7" t="inlineStr"/>
      <c r="G19" s="7" t="inlineStr">
        <is>
          <t>High</t>
        </is>
      </c>
      <c r="H19" s="7" t="inlineStr"/>
      <c r="I19" s="7" t="inlineStr"/>
      <c r="J19" s="7" t="inlineStr"/>
    </row>
    <row r="20" ht="48" customHeight="1">
      <c r="A20" s="13" t="inlineStr">
        <is>
          <t>C4 Ops visibility</t>
        </is>
      </c>
      <c r="B20" s="7" t="inlineStr">
        <is>
          <t>C4.2</t>
        </is>
      </c>
      <c r="C20" s="7" t="inlineStr">
        <is>
          <t>Inspect invoice / receiving area.</t>
        </is>
      </c>
      <c r="D20" s="7" t="inlineStr">
        <is>
          <t>No MRN number, no Create MRN, no factory security-officer fields.</t>
        </is>
      </c>
      <c r="E20" s="7" t="inlineStr"/>
      <c r="F20" s="7" t="inlineStr"/>
      <c r="G20" s="7" t="inlineStr">
        <is>
          <t>Critical</t>
        </is>
      </c>
      <c r="H20" s="7" t="inlineStr"/>
      <c r="I20" s="7" t="inlineStr"/>
      <c r="J20" s="7" t="inlineStr"/>
    </row>
    <row r="21" ht="48" customHeight="1">
      <c r="A21" s="7" t="inlineStr">
        <is>
          <t>C4 Ops visibility</t>
        </is>
      </c>
      <c r="B21" s="7" t="inlineStr">
        <is>
          <t>C4.3</t>
        </is>
      </c>
      <c r="C21" s="7" t="inlineStr">
        <is>
          <t>After recycling / Form 6 is issued by Urbeno.</t>
        </is>
      </c>
      <c r="D21" s="7" t="inlineStr">
        <is>
          <t>You can see that processing occurred / Form 6 is available to download. You are not asked to issue Form 6.</t>
        </is>
      </c>
      <c r="E21" s="7" t="inlineStr"/>
      <c r="F21" s="7" t="inlineStr"/>
      <c r="G21" s="7" t="inlineStr">
        <is>
          <t>High</t>
        </is>
      </c>
      <c r="H21" s="7" t="inlineStr"/>
      <c r="I21" s="7" t="inlineStr"/>
      <c r="J21" s="7" t="inlineStr"/>
    </row>
    <row r="22" ht="48" customHeight="1">
      <c r="A22" s="13" t="inlineStr">
        <is>
          <t>C4 Ops visibility</t>
        </is>
      </c>
      <c r="B22" s="7" t="inlineStr">
        <is>
          <t>C4.4</t>
        </is>
      </c>
      <c r="C22" s="7" t="inlineStr">
        <is>
          <t>After Certificate of Destruction is uploaded by Urbeno.</t>
        </is>
      </c>
      <c r="D22" s="7" t="inlineStr">
        <is>
          <t>Certificate number and date visible. Download works. Upload Certificate is NOT available to you.</t>
        </is>
      </c>
      <c r="E22" s="7" t="inlineStr"/>
      <c r="F22" s="7" t="inlineStr"/>
      <c r="G22" s="7" t="inlineStr">
        <is>
          <t>Critical</t>
        </is>
      </c>
      <c r="H22" s="7" t="inlineStr"/>
      <c r="I22" s="7" t="inlineStr"/>
      <c r="J22" s="7" t="inlineStr"/>
    </row>
    <row r="23" ht="48" customHeight="1">
      <c r="A23" s="7" t="inlineStr">
        <is>
          <t>C4 Ops visibility</t>
        </is>
      </c>
      <c r="B23" s="7" t="inlineStr">
        <is>
          <t>C4.5</t>
        </is>
      </c>
      <c r="C23" s="7" t="inlineStr">
        <is>
          <t>Before the invoice is fully paid, check Review &amp; Close.</t>
        </is>
      </c>
      <c r="D23" s="7" t="inlineStr">
        <is>
          <t>Review &amp; Close is absent or closing is refused until payment is complete. Home does not show a false “ready to close” prompt for unpaid invoices.</t>
        </is>
      </c>
      <c r="E23" s="7" t="inlineStr"/>
      <c r="F23" s="7" t="inlineStr"/>
      <c r="G23" s="7" t="inlineStr">
        <is>
          <t>High</t>
        </is>
      </c>
      <c r="H23" s="7" t="inlineStr"/>
      <c r="I23" s="7" t="inlineStr"/>
      <c r="J23" s="7" t="inlineStr"/>
    </row>
    <row r="24" ht="48" customHeight="1">
      <c r="A24" s="13" t="inlineStr">
        <is>
          <t>C5 Close request</t>
        </is>
      </c>
      <c r="B24" s="7" t="inlineStr">
        <is>
          <t>C5.1</t>
        </is>
      </c>
      <c r="C24" s="7" t="inlineStr">
        <is>
          <t>When CoD exists AND invoice is paid: open Review &amp; Close.</t>
        </is>
      </c>
      <c r="D24" s="7" t="inlineStr">
        <is>
          <t>Modal / flow to acknowledge closure is available. Download CoD if you want to review first.</t>
        </is>
      </c>
      <c r="E24" s="7" t="inlineStr"/>
      <c r="F24" s="7" t="inlineStr"/>
      <c r="G24" s="7" t="inlineStr">
        <is>
          <t>Critical</t>
        </is>
      </c>
      <c r="H24" s="7" t="inlineStr"/>
      <c r="I24" s="7" t="inlineStr"/>
      <c r="J24" s="7" t="inlineStr"/>
    </row>
    <row r="25" ht="48" customHeight="1">
      <c r="A25" s="7" t="inlineStr">
        <is>
          <t>C5 Close request</t>
        </is>
      </c>
      <c r="B25" s="7" t="inlineStr">
        <is>
          <t>C5.2</t>
        </is>
      </c>
      <c r="C25" s="7" t="inlineStr">
        <is>
          <t>Acknowledge closure (optional rating/note).</t>
        </is>
      </c>
      <c r="D25" s="7" t="inlineStr">
        <is>
          <t>Invoice/request closes successfully. Stage shows Closed.</t>
        </is>
      </c>
      <c r="E25" s="7" t="inlineStr"/>
      <c r="F25" s="7" t="inlineStr"/>
      <c r="G25" s="7" t="inlineStr">
        <is>
          <t>Critical</t>
        </is>
      </c>
      <c r="H25" s="7" t="inlineStr"/>
      <c r="I25" s="7" t="inlineStr"/>
      <c r="J25" s="7" t="inlineStr"/>
    </row>
    <row r="26" ht="48" customHeight="1">
      <c r="A26" s="13" t="inlineStr">
        <is>
          <t>C5 Close request</t>
        </is>
      </c>
      <c r="B26" s="7" t="inlineStr">
        <is>
          <t>C5.3</t>
        </is>
      </c>
      <c r="C26" s="7" t="inlineStr">
        <is>
          <t>Return to Home.</t>
        </is>
      </c>
      <c r="D26" s="7" t="inlineStr">
        <is>
          <t>Completed count increased. Open count decreased accordingly.</t>
        </is>
      </c>
      <c r="E26" s="7" t="inlineStr"/>
      <c r="F26" s="7" t="inlineStr"/>
      <c r="G26" s="7" t="inlineStr">
        <is>
          <t>Medium</t>
        </is>
      </c>
      <c r="H26" s="7" t="inlineStr"/>
      <c r="I26" s="7" t="inlineStr"/>
      <c r="J26" s="7" t="inlineStr"/>
    </row>
    <row r="27" ht="48" customHeight="1">
      <c r="A27" s="7" t="inlineStr">
        <is>
          <t>C6 Home &amp; impact</t>
        </is>
      </c>
      <c r="B27" s="7" t="inlineStr">
        <is>
          <t>C6.1</t>
        </is>
      </c>
      <c r="C27" s="7" t="inlineStr">
        <is>
          <t>Open Home.</t>
        </is>
      </c>
      <c r="D27" s="7" t="inlineStr">
        <is>
          <t>Tiles: open requests, completed, recycled kg, trees. Quick links to Requests / Sustainability / Heroes / Reports. + New Request visible. Site filter chips work if multiple sites.</t>
        </is>
      </c>
      <c r="E27" s="7" t="inlineStr"/>
      <c r="F27" s="7" t="inlineStr"/>
      <c r="G27" s="7" t="inlineStr">
        <is>
          <t>High</t>
        </is>
      </c>
      <c r="H27" s="7" t="inlineStr"/>
      <c r="I27" s="7" t="inlineStr"/>
      <c r="J27" s="7" t="inlineStr"/>
    </row>
    <row r="28" ht="48" customHeight="1">
      <c r="A28" s="13" t="inlineStr">
        <is>
          <t>C6 Home &amp; impact</t>
        </is>
      </c>
      <c r="B28" s="7" t="inlineStr">
        <is>
          <t>C6.2</t>
        </is>
      </c>
      <c r="C28" s="7" t="inlineStr">
        <is>
          <t>Open Sustainability.</t>
        </is>
      </c>
      <c r="D28" s="7" t="inlineStr">
        <is>
          <t>Shows closed-lifecycle impact (kg, CO₂e, landfill, etc.). “How these numbers are built” and Impact PDF open successfully.</t>
        </is>
      </c>
      <c r="E28" s="7" t="inlineStr"/>
      <c r="F28" s="7" t="inlineStr"/>
      <c r="G28" s="7" t="inlineStr">
        <is>
          <t>High</t>
        </is>
      </c>
      <c r="H28" s="7" t="inlineStr"/>
      <c r="I28" s="7" t="inlineStr"/>
      <c r="J28" s="7" t="inlineStr"/>
    </row>
    <row r="29" ht="48" customHeight="1">
      <c r="A29" s="7" t="inlineStr">
        <is>
          <t>C6 Home &amp; impact</t>
        </is>
      </c>
      <c r="B29" s="7" t="inlineStr">
        <is>
          <t>C6.3</t>
        </is>
      </c>
      <c r="C29" s="7" t="inlineStr">
        <is>
          <t>Open Recycling Heroes.</t>
        </is>
      </c>
      <c r="D29" s="7" t="inlineStr">
        <is>
          <t>Shows your organisation’s trees / tonnage. Methodology link works. Record any CSR planting button behaviour you see.</t>
        </is>
      </c>
      <c r="E29" s="7" t="inlineStr"/>
      <c r="F29" s="7" t="inlineStr"/>
      <c r="G29" s="7" t="inlineStr">
        <is>
          <t>Medium</t>
        </is>
      </c>
      <c r="H29" s="7" t="inlineStr"/>
      <c r="I29" s="7" t="inlineStr"/>
      <c r="J29" s="7" t="inlineStr"/>
    </row>
    <row r="30" ht="48" customHeight="1">
      <c r="A30" s="13" t="inlineStr">
        <is>
          <t>C7 Reports &amp; downloads</t>
        </is>
      </c>
      <c r="B30" s="7" t="inlineStr">
        <is>
          <t>C7.1</t>
        </is>
      </c>
      <c r="C30" s="7" t="inlineStr">
        <is>
          <t>Reports → Request Summary (or Invoice Register) → Export CSV.</t>
        </is>
      </c>
      <c r="D30" s="7" t="inlineStr">
        <is>
          <t>CSV downloads. Contains only your organisation’s rows.</t>
        </is>
      </c>
      <c r="E30" s="7" t="inlineStr"/>
      <c r="F30" s="7" t="inlineStr"/>
      <c r="G30" s="7" t="inlineStr">
        <is>
          <t>High</t>
        </is>
      </c>
      <c r="H30" s="7" t="inlineStr"/>
      <c r="I30" s="7" t="inlineStr"/>
      <c r="J30" s="7" t="inlineStr"/>
    </row>
    <row r="31" ht="48" customHeight="1">
      <c r="A31" s="7" t="inlineStr">
        <is>
          <t>C7 Reports &amp; downloads</t>
        </is>
      </c>
      <c r="B31" s="7" t="inlineStr">
        <is>
          <t>C7.2</t>
        </is>
      </c>
      <c r="C31" s="7" t="inlineStr">
        <is>
          <t>Reports → Certificate Log.</t>
        </is>
      </c>
      <c r="D31" s="7" t="inlineStr">
        <is>
          <t>Rows list certificates. Each row has ⬇ Download where a file exists. Export PDF/CSV works.</t>
        </is>
      </c>
      <c r="E31" s="7" t="inlineStr"/>
      <c r="F31" s="7" t="inlineStr"/>
      <c r="G31" s="7" t="inlineStr">
        <is>
          <t>Critical</t>
        </is>
      </c>
      <c r="H31" s="7" t="inlineStr"/>
      <c r="I31" s="7" t="inlineStr"/>
      <c r="J31" s="7" t="inlineStr"/>
    </row>
    <row r="32" ht="48" customHeight="1">
      <c r="A32" s="13" t="inlineStr">
        <is>
          <t>C7 Reports &amp; downloads</t>
        </is>
      </c>
      <c r="B32" s="7" t="inlineStr">
        <is>
          <t>C7.3</t>
        </is>
      </c>
      <c r="C32" s="7" t="inlineStr">
        <is>
          <t>Reports → Form 6 Log → Export PDF (and/or open a Form 6 from a request).</t>
        </is>
      </c>
      <c r="D32" s="7" t="inlineStr">
        <is>
          <t>PDF opens/downloads without error for your org’s data.</t>
        </is>
      </c>
      <c r="E32" s="7" t="inlineStr"/>
      <c r="F32" s="7" t="inlineStr"/>
      <c r="G32" s="7" t="inlineStr">
        <is>
          <t>High</t>
        </is>
      </c>
      <c r="H32" s="7" t="inlineStr"/>
      <c r="I32" s="7" t="inlineStr"/>
      <c r="J32" s="7" t="inlineStr"/>
    </row>
    <row r="33" ht="48" customHeight="1">
      <c r="A33" s="7" t="inlineStr">
        <is>
          <t>C7 Reports &amp; downloads</t>
        </is>
      </c>
      <c r="B33" s="7" t="inlineStr">
        <is>
          <t>C7.4</t>
        </is>
      </c>
      <c r="C33" s="7" t="inlineStr">
        <is>
          <t>Change reporting period (FY / calendar / custom) if shown.</t>
        </is>
      </c>
      <c r="D33" s="7" t="inlineStr">
        <is>
          <t>Figures/rows refresh. Still no other client’s data. Still no MRN register.</t>
        </is>
      </c>
      <c r="E33" s="7" t="inlineStr"/>
      <c r="F33" s="7" t="inlineStr"/>
      <c r="G33" s="7" t="inlineStr">
        <is>
          <t>Medium</t>
        </is>
      </c>
      <c r="H33" s="7" t="inlineStr"/>
      <c r="I33" s="7" t="inlineStr"/>
      <c r="J33" s="7" t="inlineStr"/>
    </row>
    <row r="34" ht="48" customHeight="1">
      <c r="A34" s="13" t="inlineStr">
        <is>
          <t>C7 Reports &amp; downloads</t>
        </is>
      </c>
      <c r="B34" s="7" t="inlineStr">
        <is>
          <t>C7.5</t>
        </is>
      </c>
      <c r="C34" s="7" t="inlineStr">
        <is>
          <t>On a request with CoD: use ⬇ Download on Certificate of Destruction / Compliance Documents.</t>
        </is>
      </c>
      <c r="D34" s="7" t="inlineStr">
        <is>
          <t>Certificate PDF opens. Label is clear (Download), not a blank icon.</t>
        </is>
      </c>
      <c r="E34" s="7" t="inlineStr"/>
      <c r="F34" s="7" t="inlineStr"/>
      <c r="G34" s="7" t="inlineStr">
        <is>
          <t>Critical</t>
        </is>
      </c>
      <c r="H34" s="7" t="inlineStr"/>
      <c r="I34" s="7" t="inlineStr"/>
      <c r="J34" s="7" t="inlineStr"/>
    </row>
    <row r="35" ht="48" customHeight="1">
      <c r="A35" s="7" t="inlineStr">
        <is>
          <t>C8 Notifications &amp; search</t>
        </is>
      </c>
      <c r="B35" s="7" t="inlineStr">
        <is>
          <t>C8.1</t>
        </is>
      </c>
      <c r="C35" s="7" t="inlineStr">
        <is>
          <t>Open the notification bell.</t>
        </is>
      </c>
      <c r="D35" s="7" t="inlineStr">
        <is>
          <t>Panel lists notifications. Unread count makes sense. Marking read (if available) works.</t>
        </is>
      </c>
      <c r="E35" s="7" t="inlineStr"/>
      <c r="F35" s="7" t="inlineStr"/>
      <c r="G35" s="7" t="inlineStr">
        <is>
          <t>Low</t>
        </is>
      </c>
      <c r="H35" s="7" t="inlineStr"/>
      <c r="I35" s="7" t="inlineStr"/>
      <c r="J35" s="7" t="inlineStr"/>
    </row>
    <row r="36" ht="48" customHeight="1">
      <c r="A36" s="13" t="inlineStr">
        <is>
          <t>C8 Notifications &amp; search</t>
        </is>
      </c>
      <c r="B36" s="7" t="inlineStr">
        <is>
          <t>C8.2</t>
        </is>
      </c>
      <c r="C36" s="7" t="inlineStr">
        <is>
          <t>Use global search with a known REQ- id from your org.</t>
        </is>
      </c>
      <c r="D36" s="7" t="inlineStr">
        <is>
          <t>Request appears in results and opens correctly.</t>
        </is>
      </c>
      <c r="E36" s="7" t="inlineStr"/>
      <c r="F36" s="7" t="inlineStr"/>
      <c r="G36" s="7" t="inlineStr">
        <is>
          <t>Medium</t>
        </is>
      </c>
      <c r="H36" s="7" t="inlineStr"/>
      <c r="I36" s="7" t="inlineStr"/>
      <c r="J36" s="7" t="inlineStr"/>
    </row>
    <row r="37" ht="48" customHeight="1">
      <c r="A37" s="7" t="inlineStr">
        <is>
          <t>C9 Profile (optional)</t>
        </is>
      </c>
      <c r="B37" s="7" t="inlineStr">
        <is>
          <t>C9.1</t>
        </is>
      </c>
      <c r="C37" s="7" t="inlineStr">
        <is>
          <t>Profile → change password to something too short (e.g. “short”).</t>
        </is>
      </c>
      <c r="D37" s="7" t="inlineStr">
        <is>
          <t>Rejected. Password policy message shown (length / complexity).</t>
        </is>
      </c>
      <c r="E37" s="7" t="inlineStr"/>
      <c r="F37" s="7" t="inlineStr"/>
      <c r="G37" s="7" t="inlineStr">
        <is>
          <t>Low</t>
        </is>
      </c>
      <c r="H37" s="7" t="inlineStr"/>
      <c r="I37" s="7" t="inlineStr"/>
      <c r="J37" s="7" t="inlineStr"/>
    </row>
    <row r="38" ht="48" customHeight="1">
      <c r="A38" s="13" t="inlineStr">
        <is>
          <t>C9 Profile (optional)</t>
        </is>
      </c>
      <c r="B38" s="7" t="inlineStr">
        <is>
          <t>C9.2</t>
        </is>
      </c>
      <c r="C38" s="7" t="inlineStr">
        <is>
          <t>Skip a real password change on the shared demo user unless you are the last tester.</t>
        </is>
      </c>
      <c r="D38" s="7" t="inlineStr">
        <is>
          <t>N/A is acceptable for shared UAT accounts.</t>
        </is>
      </c>
      <c r="E38" s="7" t="inlineStr"/>
      <c r="F38" s="7" t="inlineStr"/>
      <c r="G38" s="7" t="inlineStr">
        <is>
          <t>Low</t>
        </is>
      </c>
      <c r="H38" s="7" t="inlineStr"/>
      <c r="I38" s="7" t="inlineStr"/>
      <c r="J38" s="7" t="inlineStr"/>
    </row>
    <row r="39" ht="48" customHeight="1">
      <c r="A39" s="7" t="inlineStr">
        <is>
          <t>C10 Queries</t>
        </is>
      </c>
      <c r="B39" s="7" t="inlineStr">
        <is>
          <t>C10.1</t>
        </is>
      </c>
      <c r="C39" s="7" t="inlineStr">
        <is>
          <t>On one of your requests, post a query / message to Urbeno.</t>
        </is>
      </c>
      <c r="D39" s="7" t="inlineStr">
        <is>
          <t>Message is saved and visible in the thread.</t>
        </is>
      </c>
      <c r="E39" s="7" t="inlineStr"/>
      <c r="F39" s="7" t="inlineStr"/>
      <c r="G39" s="7" t="inlineStr">
        <is>
          <t>Medium</t>
        </is>
      </c>
      <c r="H39" s="7" t="inlineStr"/>
      <c r="I39" s="7" t="inlineStr"/>
      <c r="J39" s="7" t="inlineStr"/>
    </row>
    <row r="41">
      <c r="A41" s="8" t="inlineStr">
        <is>
          <t>Result legend:</t>
        </is>
      </c>
      <c r="B41" s="14" t="inlineStr">
        <is>
          <t>Pass</t>
        </is>
      </c>
      <c r="C41" s="15" t="inlineStr">
        <is>
          <t>Fail</t>
        </is>
      </c>
      <c r="D41" s="16" t="inlineStr">
        <is>
          <t>N/A</t>
        </is>
      </c>
      <c r="E41" s="17" t="inlineStr">
        <is>
          <t>Blocked</t>
        </is>
      </c>
    </row>
    <row r="42">
      <c r="A42" t="inlineStr">
        <is>
          <t>Tip: Filter the Result column to find open Fail/Blocked items before sign-off.</t>
        </is>
      </c>
    </row>
  </sheetData>
  <autoFilter ref="A3:J3"/>
  <mergeCells count="2">
    <mergeCell ref="A1:J1"/>
    <mergeCell ref="A42:F42"/>
  </mergeCells>
  <conditionalFormatting sqref="E4:E39">
    <cfRule type="expression" priority="1" dxfId="0">
      <formula>E4="Pass"</formula>
    </cfRule>
    <cfRule type="expression" priority="2" dxfId="1">
      <formula>E4="Fail"</formula>
    </cfRule>
    <cfRule type="expression" priority="3" dxfId="2">
      <formula>E4="N/A"</formula>
    </cfRule>
    <cfRule type="expression" priority="4" dxfId="3">
      <formula>E4="Blocked"</formula>
    </cfRule>
  </conditionalFormatting>
  <dataValidations count="2">
    <dataValidation sqref="E4:E39" showDropDown="0" showInputMessage="0" showErrorMessage="0" allowBlank="1" errorTitle="Invalid result" error="Select Pass, Fail, N/A, or Blocked" type="list">
      <formula1>"Pass,Fail,N/A,Blocked"</formula1>
    </dataValidation>
    <dataValidation sqref="G4:G39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2" customWidth="1" min="3" max="3"/>
    <col width="32" customWidth="1" min="4" max="4"/>
    <col width="14" customWidth="1" min="5" max="5"/>
  </cols>
  <sheetData>
    <row r="1">
      <c r="A1" s="1" t="inlineStr">
        <is>
          <t>Client UAT sign-off</t>
        </is>
      </c>
    </row>
    <row r="3">
      <c r="A3" s="5" t="inlineStr">
        <is>
          <t>Summary tallies (auto-calculated from sheet 3)</t>
        </is>
      </c>
    </row>
    <row r="4">
      <c r="A4" s="10" t="inlineStr">
        <is>
          <t>Metric</t>
        </is>
      </c>
      <c r="B4" s="10" t="inlineStr">
        <is>
          <t>Count</t>
        </is>
      </c>
    </row>
    <row r="5">
      <c r="A5" s="12" t="inlineStr">
        <is>
          <t>Total cases</t>
        </is>
      </c>
      <c r="B5" s="18">
        <f>COUNTA('3. Test Cases'!B4:B39)</f>
        <v/>
      </c>
    </row>
    <row r="6">
      <c r="A6" s="12" t="inlineStr">
        <is>
          <t>Pass</t>
        </is>
      </c>
      <c r="B6" s="18">
        <f>COUNTIF('3. Test Cases'!E4:E39,"Pass")</f>
        <v/>
      </c>
    </row>
    <row r="7">
      <c r="A7" s="12" t="inlineStr">
        <is>
          <t>Fail</t>
        </is>
      </c>
      <c r="B7" s="18">
        <f>COUNTIF('3. Test Cases'!E4:E39,"Fail")</f>
        <v/>
      </c>
    </row>
    <row r="8">
      <c r="A8" s="12" t="inlineStr">
        <is>
          <t>N/A</t>
        </is>
      </c>
      <c r="B8" s="18">
        <f>COUNTIF('3. Test Cases'!E4:E39,"N/A")</f>
        <v/>
      </c>
    </row>
    <row r="9">
      <c r="A9" s="12" t="inlineStr">
        <is>
          <t>Blocked</t>
        </is>
      </c>
      <c r="B9" s="18">
        <f>COUNTIF('3. Test Cases'!E4:E39,"Blocked")</f>
        <v/>
      </c>
    </row>
    <row r="10">
      <c r="A10" s="12" t="inlineStr">
        <is>
          <t>Not yet marked</t>
        </is>
      </c>
      <c r="B10" s="18">
        <f>COUNTBLANK('3. Test Cases'!E4:E39)</f>
        <v/>
      </c>
    </row>
    <row r="12">
      <c r="A12" s="5" t="inlineStr">
        <is>
          <t>Overall assessment</t>
        </is>
      </c>
    </row>
    <row r="13">
      <c r="A13" t="inlineStr">
        <is>
          <t>Fit for production as a Client portal user?</t>
        </is>
      </c>
      <c r="B13" t="inlineStr"/>
      <c r="C13" t="inlineStr">
        <is>
          <t>Select from dropdown</t>
        </is>
      </c>
    </row>
    <row r="14">
      <c r="A14" t="inlineStr">
        <is>
          <t>Blockers / waiver IDs</t>
        </is>
      </c>
      <c r="B14" t="inlineStr"/>
    </row>
    <row r="15">
      <c r="A15" t="inlineStr">
        <is>
          <t>Key observations</t>
        </is>
      </c>
      <c r="B15" t="inlineStr"/>
    </row>
    <row r="16"/>
    <row r="18">
      <c r="A18" s="4" t="inlineStr">
        <is>
          <t>I confirm I executed this client UAT script on the environment named on sheet 2 and that the results are accurate.</t>
        </is>
      </c>
    </row>
    <row r="20">
      <c r="A20" s="10" t="inlineStr">
        <is>
          <t>Role</t>
        </is>
      </c>
      <c r="B20" s="10" t="inlineStr">
        <is>
          <t>Name</t>
        </is>
      </c>
      <c r="C20" s="10" t="inlineStr">
        <is>
          <t>Organisation</t>
        </is>
      </c>
      <c r="D20" s="10" t="inlineStr">
        <is>
          <t>Signature / email confirmation</t>
        </is>
      </c>
      <c r="E20" s="10" t="inlineStr">
        <is>
          <t>Date</t>
        </is>
      </c>
    </row>
    <row r="21" ht="28" customHeight="1">
      <c r="A21" s="12" t="inlineStr">
        <is>
          <t>Tester</t>
        </is>
      </c>
      <c r="B21" s="12" t="inlineStr"/>
      <c r="C21" s="12" t="inlineStr"/>
      <c r="D21" s="12" t="inlineStr"/>
      <c r="E21" s="12" t="inlineStr"/>
    </row>
    <row r="22" ht="28" customHeight="1">
      <c r="A22" s="12" t="inlineStr">
        <is>
          <t>Client sponsor (optional)</t>
        </is>
      </c>
      <c r="B22" s="12" t="inlineStr"/>
      <c r="C22" s="12" t="inlineStr"/>
      <c r="D22" s="12" t="inlineStr"/>
      <c r="E22" s="12" t="inlineStr"/>
    </row>
    <row r="23" ht="28" customHeight="1">
      <c r="A23" s="12" t="inlineStr">
        <is>
          <t>Urbeno UAT lead (optional)</t>
        </is>
      </c>
      <c r="B23" s="12" t="inlineStr"/>
      <c r="C23" s="12" t="inlineStr"/>
      <c r="D23" s="12" t="inlineStr"/>
      <c r="E23" s="12" t="inlineStr"/>
    </row>
  </sheetData>
  <mergeCells count="6">
    <mergeCell ref="A1:D1"/>
    <mergeCell ref="A18:D18"/>
    <mergeCell ref="B14:D14"/>
    <mergeCell ref="B15:D16"/>
    <mergeCell ref="A12:D12"/>
    <mergeCell ref="A3:B3"/>
  </mergeCells>
  <dataValidations count="1">
    <dataValidation sqref="B13" showDropDown="0" showInputMessage="0" showErrorMessage="0" allowBlank="1" type="list">
      <formula1>"Yes,Yes with waivers,No"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36" customWidth="1" min="4" max="4"/>
    <col width="24" customWidth="1" min="5" max="5"/>
    <col width="24" customWidth="1" min="6" max="6"/>
    <col width="12" customWidth="1" min="7" max="7"/>
    <col width="12" customWidth="1" min="8" max="8"/>
    <col width="16" customWidth="1" min="9" max="9"/>
    <col width="20" customWidth="1" min="10" max="10"/>
  </cols>
  <sheetData>
    <row r="1">
      <c r="A1" s="1" t="inlineStr">
        <is>
          <t>Defect / issue log (optional — one row per Fail or Blocked)</t>
        </is>
      </c>
    </row>
    <row r="3">
      <c r="A3" s="10" t="inlineStr">
        <is>
          <t>Defect #</t>
        </is>
      </c>
      <c r="B3" s="10" t="inlineStr">
        <is>
          <t>Linked case ID</t>
        </is>
      </c>
      <c r="C3" s="10" t="inlineStr">
        <is>
          <t>Summary</t>
        </is>
      </c>
      <c r="D3" s="10" t="inlineStr">
        <is>
          <t>Steps to reproduce</t>
        </is>
      </c>
      <c r="E3" s="10" t="inlineStr">
        <is>
          <t>Expected</t>
        </is>
      </c>
      <c r="F3" s="10" t="inlineStr">
        <is>
          <t>Actual</t>
        </is>
      </c>
      <c r="G3" s="10" t="inlineStr">
        <is>
          <t>Severity</t>
        </is>
      </c>
      <c r="H3" s="10" t="inlineStr">
        <is>
          <t>Status</t>
        </is>
      </c>
      <c r="I3" s="10" t="inlineStr">
        <is>
          <t>Owner</t>
        </is>
      </c>
      <c r="J3" s="10" t="inlineStr">
        <is>
          <t>Resolution / date</t>
        </is>
      </c>
    </row>
    <row r="4" ht="22" customHeight="1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</row>
    <row r="5" ht="22" customHeight="1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</row>
    <row r="6" ht="22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</row>
    <row r="7" ht="22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</sheetData>
  <mergeCells count="1">
    <mergeCell ref="A1:H1"/>
  </mergeCells>
  <dataValidations count="2">
    <dataValidation sqref="G4:G23" showDropDown="0" showInputMessage="0" showErrorMessage="0" allowBlank="1" type="list">
      <formula1>"Critical,High,Medium,Low"</formula1>
    </dataValidation>
    <dataValidation sqref="H4:H23" showDropDown="0" showInputMessage="0" showErrorMessage="0" allowBlank="1" type="list">
      <formula1>"Open,In progress,Fixed,Won't fix,Duplicate"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2026-08-21T10:02:47Z</dcterms:created>
  <dcterms:modified xsi:type="dcterms:W3CDTF">2026-08-21T10:02:47Z</dcterms:modified>
</cp:coreProperties>
</file>