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ssion" sheetId="2" state="visible" r:id="rId2"/>
    <sheet name="Test Parameters" sheetId="3" state="visible" r:id="rId3"/>
    <sheet name="Checklist" sheetId="4" state="visible" r:id="rId4"/>
    <sheet name="Findings" sheetId="5" state="visible" r:id="rId5"/>
    <sheet name="Summary &amp; Sign-off" sheetId="6" state="visible" r:id="rId6"/>
  </sheets>
  <definedNames>
    <definedName name="_xlnm.Print_Titles" localSheetId="0">'Instructions'!$1:$1</definedName>
    <definedName name="_xlnm._FilterDatabase" localSheetId="3" hidden="1">'Checklist'!$A$3:$G$34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5C3A"/>
      <sz val="16"/>
    </font>
    <font>
      <name val="Calibri"/>
      <sz val="11"/>
    </font>
    <font>
      <name val="Calibri"/>
      <b val="1"/>
      <sz val="11"/>
    </font>
    <font>
      <b val="1"/>
      <color rgb="00FFFFFF"/>
    </font>
    <font>
      <name val="Calibri"/>
      <b val="1"/>
      <color rgb="00FFFFFF"/>
      <sz val="11"/>
    </font>
    <font>
      <name val="Calibri"/>
      <b val="1"/>
    </font>
    <font>
      <b val="1"/>
      <color rgb="000F5C3A"/>
    </font>
  </fonts>
  <fills count="6">
    <fill>
      <patternFill/>
    </fill>
    <fill>
      <patternFill patternType="gray125"/>
    </fill>
    <fill>
      <patternFill patternType="solid">
        <fgColor rgb="00FFF8E7"/>
      </patternFill>
    </fill>
    <fill>
      <patternFill patternType="solid">
        <fgColor rgb="000F5C3A"/>
      </patternFill>
    </fill>
    <fill>
      <patternFill patternType="solid">
        <fgColor rgb="00E8F2EC"/>
      </patternFill>
    </fill>
    <fill>
      <patternFill patternType="solid">
        <fgColor rgb="00F7FAF8"/>
      </patternFill>
    </fill>
  </fills>
  <borders count="2">
    <border>
      <left/>
      <right/>
      <top/>
      <bottom/>
      <diagonal/>
    </border>
    <border>
      <left style="thin">
        <color rgb="00C5D5CC"/>
      </left>
      <right style="thin">
        <color rgb="00C5D5CC"/>
      </right>
      <top style="thin">
        <color rgb="00C5D5CC"/>
      </top>
      <bottom style="thin">
        <color rgb="00C5D5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0" fillId="2" borderId="0" pivotButton="0" quotePrefix="0" xfId="0"/>
    <xf numFmtId="0" fontId="5" fillId="3" borderId="1" applyAlignment="1" pivotButton="0" quotePrefix="0" xfId="0">
      <alignment vertical="center" wrapText="1"/>
    </xf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</cols>
  <sheetData>
    <row r="1" ht="28" customHeight="1">
      <c r="A1" s="1" t="inlineStr">
        <is>
          <t>Urb TecTrack — Client UAT Results (Tester workbook)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Capture Pass / Fail results for the client (requestor) portal during User Acceptance Testing.</t>
        </is>
      </c>
    </row>
    <row r="5">
      <c r="A5" s="2" t="inlineStr"/>
    </row>
    <row r="6">
      <c r="A6" s="3" t="inlineStr">
        <is>
          <t>Important — credentials</t>
        </is>
      </c>
    </row>
    <row r="7">
      <c r="A7" s="4" t="inlineStr">
        <is>
          <t>This workbook does NOT contain usernames or passwords.</t>
        </is>
      </c>
    </row>
    <row r="8">
      <c r="A8" s="4" t="inlineStr">
        <is>
          <t>Urbeno issues sign-in details separately. Do not write passwords in this file.</t>
        </is>
      </c>
    </row>
    <row r="9">
      <c r="A9" s="2" t="inlineStr"/>
    </row>
    <row r="10">
      <c r="A10" s="3" t="inlineStr">
        <is>
          <t>How to use</t>
        </is>
      </c>
    </row>
    <row r="11">
      <c r="A11" s="2" t="inlineStr">
        <is>
          <t>1. Complete the Session sheet with your organisation and tester details.</t>
        </is>
      </c>
    </row>
    <row r="12">
      <c r="A12" s="2" t="inlineStr">
        <is>
          <t>2. Review Test Parameters for expected behaviour.</t>
        </is>
      </c>
    </row>
    <row r="13">
      <c r="A13" s="2" t="inlineStr">
        <is>
          <t>3. Work through Checklist — select Result from the dropdown for every case.</t>
        </is>
      </c>
    </row>
    <row r="14">
      <c r="A14" s="2" t="inlineStr">
        <is>
          <t>4. Log every Fail or Blocked item on the Findings sheet.</t>
        </is>
      </c>
    </row>
    <row r="15">
      <c r="A15" s="2" t="inlineStr">
        <is>
          <t>5. Complete Summary &amp; Sign-off, then email this file to info@urbeno.in.</t>
        </is>
      </c>
    </row>
    <row r="16">
      <c r="A16" s="2" t="inlineStr"/>
    </row>
    <row r="17">
      <c r="A17" s="3" t="inlineStr">
        <is>
          <t>Result meanings</t>
        </is>
      </c>
    </row>
    <row r="18">
      <c r="A18" s="2" t="inlineStr">
        <is>
          <t>Pass — behaviour matches Expected</t>
        </is>
      </c>
    </row>
    <row r="19">
      <c r="A19" s="2" t="inlineStr">
        <is>
          <t>Fail — wrong or missing vs Expected (must add a Findings row)</t>
        </is>
      </c>
    </row>
    <row r="20">
      <c r="A20" s="2" t="inlineStr">
        <is>
          <t>N/A — cannot run in this session (state why in Notes)</t>
        </is>
      </c>
    </row>
    <row r="21">
      <c r="A21" s="2" t="inlineStr">
        <is>
          <t>Blocked — blocked by another Fail or environment issue</t>
        </is>
      </c>
    </row>
    <row r="22">
      <c r="A22" s="2" t="inlineStr"/>
    </row>
    <row r="23">
      <c r="A23" s="3" t="inlineStr">
        <is>
          <t>Severity (Findings)</t>
        </is>
      </c>
    </row>
    <row r="24">
      <c r="A24" s="2" t="inlineStr">
        <is>
          <t>Blocker — cannot raise/view/close own requests; sees other org data; security concern</t>
        </is>
      </c>
    </row>
    <row r="25">
      <c r="A25" s="2" t="inlineStr">
        <is>
          <t>Major — business rule broken; workaround exists</t>
        </is>
      </c>
    </row>
    <row r="26">
      <c r="A26" s="2" t="inlineStr">
        <is>
          <t>Minor — awkward UI; process still completable</t>
        </is>
      </c>
    </row>
    <row r="27">
      <c r="A27" s="2" t="inlineStr">
        <is>
          <t>Cosmetic — spelling / layout only</t>
        </is>
      </c>
    </row>
    <row r="28">
      <c r="A28" s="2" t="inlineStr"/>
    </row>
    <row r="29">
      <c r="A29" s="3" t="inlineStr">
        <is>
          <t>Portal</t>
        </is>
      </c>
    </row>
    <row r="30">
      <c r="A30" s="2" t="inlineStr">
        <is>
          <t>https://uat.urbeno.in</t>
        </is>
      </c>
    </row>
    <row r="31">
      <c r="A31" s="2" t="inlineStr"/>
    </row>
    <row r="32">
      <c r="A32" s="3" t="inlineStr">
        <is>
          <t>Return</t>
        </is>
      </c>
    </row>
    <row r="33">
      <c r="A33" s="2" t="inlineStr">
        <is>
          <t>Email: info@urbeno.in</t>
        </is>
      </c>
    </row>
    <row r="34">
      <c r="A34" s="2" t="inlineStr">
        <is>
          <t>Subject: Urb TecTrack UAT — Client findings — [Your Organisation] — [Date]</t>
        </is>
      </c>
    </row>
    <row r="35">
      <c r="A35" s="2" t="inlineStr">
        <is>
          <t>Companion visual guide (no credentials): Urb-TecTrack-Client-Access-Visual-Guide.pdf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 ht="26" customHeight="1">
      <c r="A1" s="1" t="inlineStr">
        <is>
          <t>Session details</t>
        </is>
      </c>
    </row>
    <row r="2">
      <c r="A2" s="5" t="inlineStr">
        <is>
          <t>Credentials are issued separately and must not be stored in this workbook.</t>
        </is>
      </c>
    </row>
    <row r="4">
      <c r="A4" s="6" t="inlineStr">
        <is>
          <t>Field</t>
        </is>
      </c>
      <c r="B4" s="6" t="inlineStr">
        <is>
          <t>Your entry</t>
        </is>
      </c>
    </row>
    <row r="5">
      <c r="A5" s="7" t="inlineStr">
        <is>
          <t>Organisation</t>
        </is>
      </c>
      <c r="B5" s="8" t="inlineStr"/>
    </row>
    <row r="6">
      <c r="A6" s="7" t="inlineStr">
        <is>
          <t>Tester name</t>
        </is>
      </c>
      <c r="B6" s="8" t="inlineStr"/>
    </row>
    <row r="7">
      <c r="A7" s="7" t="inlineStr">
        <is>
          <t>Tester email</t>
        </is>
      </c>
      <c r="B7" s="8" t="inlineStr"/>
    </row>
    <row r="8">
      <c r="A8" s="7" t="inlineStr">
        <is>
          <t>Date(s) of testing (IST)</t>
        </is>
      </c>
      <c r="B8" s="8" t="inlineStr"/>
    </row>
    <row r="9">
      <c r="A9" s="7" t="inlineStr">
        <is>
          <t>Browser + version</t>
        </is>
      </c>
      <c r="B9" s="8" t="inlineStr"/>
    </row>
    <row r="10">
      <c r="A10" s="7" t="inlineStr">
        <is>
          <t>Device</t>
        </is>
      </c>
      <c r="B10" s="8" t="inlineStr"/>
    </row>
    <row r="11">
      <c r="A11" s="7" t="inlineStr">
        <is>
          <t>Portal URL</t>
        </is>
      </c>
      <c r="B11" s="8" t="inlineStr">
        <is>
          <t>https://uat.urbeno.in</t>
        </is>
      </c>
    </row>
    <row r="12">
      <c r="A12" s="7" t="inlineStr">
        <is>
          <t>Account used (email only — issued separately)</t>
        </is>
      </c>
      <c r="B12" s="8" t="inlineStr"/>
    </row>
    <row r="13">
      <c r="A13" s="7" t="inlineStr">
        <is>
          <t>Build / release note (if provided)</t>
        </is>
      </c>
      <c r="B13" s="8" t="inlineStr"/>
    </row>
    <row r="14">
      <c r="A14" s="7" t="inlineStr">
        <is>
          <t>Request ID created during UAT (REQ-…)</t>
        </is>
      </c>
      <c r="B14" s="8" t="inlineStr"/>
    </row>
    <row r="15">
      <c r="A15" s="7" t="inlineStr">
        <is>
          <t>Other-org request ID for tenancy test (if supplied by Urbeno)</t>
        </is>
      </c>
      <c r="B15" s="8" t="inlineStr"/>
    </row>
    <row r="17">
      <c r="A17" s="9" t="inlineStr"/>
    </row>
    <row r="18">
      <c r="A18" s="10" t="inlineStr">
        <is>
          <t>Before you start</t>
        </is>
      </c>
    </row>
    <row r="19">
      <c r="A19" s="9" t="inlineStr">
        <is>
          <t>• Use only the account Urbeno issued to you.</t>
        </is>
      </c>
    </row>
    <row r="20">
      <c r="A20" s="9" t="inlineStr">
        <is>
          <t>• Prefer a private/incognito window if you also use other portal roles.</t>
        </is>
      </c>
    </row>
    <row r="21">
      <c r="A21" s="9" t="inlineStr">
        <is>
          <t>• On first sign-in you may need to accept Terms and Privacy.</t>
        </is>
      </c>
    </row>
    <row r="22">
      <c r="A22" s="9" t="inlineStr">
        <is>
          <t>• Do not change a shared password unless Urbeno asks you to.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5" customWidth="1" min="2" max="2"/>
  </cols>
  <sheetData>
    <row r="1">
      <c r="A1" s="1" t="inlineStr">
        <is>
          <t>Test parameters (reference — no credentials)</t>
        </is>
      </c>
    </row>
    <row r="3">
      <c r="A3" s="6" t="inlineStr">
        <is>
          <t>Parameter</t>
        </is>
      </c>
      <c r="B3" s="6" t="inlineStr">
        <is>
          <t>Value / guidance</t>
        </is>
      </c>
    </row>
    <row r="4" ht="32" customHeight="1">
      <c r="A4" s="7" t="inlineStr">
        <is>
          <t>Portal URL</t>
        </is>
      </c>
      <c r="B4" s="11" t="inlineStr">
        <is>
          <t>https://uat.urbeno.in</t>
        </is>
      </c>
    </row>
    <row r="5" ht="32" customHeight="1">
      <c r="A5" s="7" t="inlineStr">
        <is>
          <t>Role under test</t>
        </is>
      </c>
      <c r="B5" s="11" t="inlineStr">
        <is>
          <t>Client User (requestor)</t>
        </is>
      </c>
    </row>
    <row r="6" ht="32" customHeight="1">
      <c r="A6" s="7" t="inlineStr">
        <is>
          <t>Expected navigation</t>
        </is>
      </c>
      <c r="B6" s="11" t="inlineStr">
        <is>
          <t>Home, My Requests, Recycling Heroes, Sustainability, Reports</t>
        </is>
      </c>
    </row>
    <row r="7" ht="32" customHeight="1">
      <c r="A7" s="7" t="inlineStr">
        <is>
          <t>Must NOT appear in navigation</t>
        </is>
      </c>
      <c r="B7" s="11" t="inlineStr">
        <is>
          <t>Masters, Audit, Capacity, Compliance</t>
        </is>
      </c>
    </row>
    <row r="8" ht="32" customHeight="1">
      <c r="A8" s="7" t="inlineStr">
        <is>
          <t>Sample new-request data</t>
        </is>
      </c>
      <c r="B8" s="11" t="inlineStr">
        <is>
          <t>Pickup location e.g. Loading bay; Approx. qty e.g. 12; Approx. weight e.g. 75 kg; at least one line item</t>
        </is>
      </c>
    </row>
    <row r="9" ht="32" customHeight="1">
      <c r="A9" s="7" t="inlineStr">
        <is>
          <t>Tenancy rule</t>
        </is>
      </c>
      <c r="B9" s="11" t="inlineStr">
        <is>
          <t>Only your organisation's requests and reports</t>
        </is>
      </c>
    </row>
    <row r="10" ht="32" customHeight="1">
      <c r="A10" s="7" t="inlineStr">
        <is>
          <t>Staff-only actions (must not appear for you)</t>
        </is>
      </c>
      <c r="B10" s="11" t="inlineStr">
        <is>
          <t>Acknowledge, Assign Vehicle, Weigh, Raise Invoice, Create MRN, Upload Certificate, Form 6 issue</t>
        </is>
      </c>
    </row>
    <row r="11" ht="32" customHeight="1">
      <c r="A11" s="7" t="inlineStr">
        <is>
          <t>Close rule</t>
        </is>
      </c>
      <c r="B11" s="11" t="inlineStr">
        <is>
          <t>Review &amp; Close only after certificate AND payment are complete</t>
        </is>
      </c>
    </row>
    <row r="12" ht="32" customHeight="1">
      <c r="A12" s="7" t="inlineStr">
        <is>
          <t>Password policy (if changing password)</t>
        </is>
      </c>
      <c r="B12" s="11" t="inlineStr">
        <is>
          <t>10+ characters; upper-case; lower-case; digit; cannot repeat last 5 passwords</t>
        </is>
      </c>
    </row>
    <row r="13" ht="32" customHeight="1">
      <c r="A13" s="7" t="inlineStr">
        <is>
          <t>Two-factor authentication</t>
        </is>
      </c>
      <c r="B13" s="11" t="inlineStr">
        <is>
          <t>Not used for client users in this portal</t>
        </is>
      </c>
    </row>
    <row r="14" ht="32" customHeight="1">
      <c r="A14" s="7" t="inlineStr">
        <is>
          <t>Return findings to</t>
        </is>
      </c>
      <c r="B14" s="11" t="inlineStr">
        <is>
          <t>info@urbeno.in</t>
        </is>
      </c>
    </row>
    <row r="15" ht="32" customHeight="1">
      <c r="A15" s="7" t="inlineStr">
        <is>
          <t>Email subject template</t>
        </is>
      </c>
      <c r="B15" s="11" t="inlineStr">
        <is>
          <t>Urb TecTrack UAT — Client findings — [Organisation] — [Date]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48" customWidth="1" min="3" max="3"/>
    <col width="48" customWidth="1" min="4" max="4"/>
    <col width="12" customWidth="1" min="5" max="5"/>
    <col width="10" customWidth="1" min="6" max="6"/>
    <col width="28" customWidth="1" min="7" max="7"/>
  </cols>
  <sheetData>
    <row r="1" ht="26" customHeight="1">
      <c r="A1" s="1" t="inlineStr">
        <is>
          <t>Client portal checklist — mark Result for every case</t>
        </is>
      </c>
    </row>
    <row r="3">
      <c r="A3" s="6" t="inlineStr">
        <is>
          <t>Section</t>
        </is>
      </c>
      <c r="B3" s="6" t="inlineStr">
        <is>
          <t>Case ID</t>
        </is>
      </c>
      <c r="C3" s="6" t="inlineStr">
        <is>
          <t>Step</t>
        </is>
      </c>
      <c r="D3" s="6" t="inlineStr">
        <is>
          <t>Expected</t>
        </is>
      </c>
      <c r="E3" s="6" t="inlineStr">
        <is>
          <t>Result</t>
        </is>
      </c>
      <c r="F3" s="6" t="inlineStr">
        <is>
          <t>Initials</t>
        </is>
      </c>
      <c r="G3" s="6" t="inlineStr">
        <is>
          <t>Notes</t>
        </is>
      </c>
    </row>
    <row r="4" ht="48" customHeight="1">
      <c r="A4" s="12" t="inlineStr">
        <is>
          <t>C0 Sign-in, policies, navigation</t>
        </is>
      </c>
      <c r="B4" s="13" t="inlineStr">
        <is>
          <t>C0.1</t>
        </is>
      </c>
      <c r="C4" s="11" t="inlineStr">
        <is>
          <t>Open the portal URL. Sign in with the account issued to you separately.</t>
        </is>
      </c>
      <c r="D4" s="11" t="inlineStr">
        <is>
          <t>Login succeeds.</t>
        </is>
      </c>
      <c r="E4" s="8" t="inlineStr"/>
      <c r="F4" s="8" t="inlineStr"/>
      <c r="G4" s="8" t="inlineStr"/>
    </row>
    <row r="5" ht="48" customHeight="1">
      <c r="A5" s="12" t="inlineStr">
        <is>
          <t>C0 Sign-in, policies, navigation</t>
        </is>
      </c>
      <c r="B5" s="13" t="inlineStr">
        <is>
          <t>C0.2</t>
        </is>
      </c>
      <c r="C5" s="11" t="inlineStr">
        <is>
          <t>If Accept policies appears: open Terms and Privacy, then accept.</t>
        </is>
      </c>
      <c r="D5" s="11" t="inlineStr">
        <is>
          <t>Gate clears. Home welcomes you by name.</t>
        </is>
      </c>
      <c r="E5" s="8" t="inlineStr"/>
      <c r="F5" s="8" t="inlineStr"/>
      <c r="G5" s="8" t="inlineStr"/>
    </row>
    <row r="6" ht="48" customHeight="1">
      <c r="A6" s="12" t="inlineStr">
        <is>
          <t>C0 Sign-in, policies, navigation</t>
        </is>
      </c>
      <c r="B6" s="13" t="inlineStr">
        <is>
          <t>C0.3</t>
        </is>
      </c>
      <c r="C6" s="11" t="inlineStr">
        <is>
          <t>Review main navigation.</t>
        </is>
      </c>
      <c r="D6" s="11" t="inlineStr">
        <is>
          <t>Client areas only: Home, My Requests, Recycling Heroes, Sustainability, Reports. No Masters, Audit, Capacity, Compliance.</t>
        </is>
      </c>
      <c r="E6" s="8" t="inlineStr"/>
      <c r="F6" s="8" t="inlineStr"/>
      <c r="G6" s="8" t="inlineStr"/>
    </row>
    <row r="7" ht="48" customHeight="1">
      <c r="A7" s="12" t="inlineStr">
        <is>
          <t>C0 Sign-in, policies, navigation</t>
        </is>
      </c>
      <c r="B7" s="13" t="inlineStr">
        <is>
          <t>C0.4</t>
        </is>
      </c>
      <c r="C7" s="11" t="inlineStr">
        <is>
          <t>Open Your profile (avatar / name).</t>
        </is>
      </c>
      <c r="D7" s="11" t="inlineStr">
        <is>
          <t>Role is Client User. Organisation matches yours. Change password available. Two-factor is NOT shown for clients.</t>
        </is>
      </c>
      <c r="E7" s="8" t="inlineStr"/>
      <c r="F7" s="8" t="inlineStr"/>
      <c r="G7" s="8" t="inlineStr"/>
    </row>
    <row r="8" ht="48" customHeight="1">
      <c r="A8" s="12" t="inlineStr">
        <is>
          <t>C0 Sign-in, policies, navigation</t>
        </is>
      </c>
      <c r="B8" s="13" t="inlineStr">
        <is>
          <t>C0.5</t>
        </is>
      </c>
      <c r="C8" s="11" t="inlineStr">
        <is>
          <t>Sign out, then sign in again.</t>
        </is>
      </c>
      <c r="D8" s="11" t="inlineStr">
        <is>
          <t>Returns to Home. Policies not re-prompted unless Urbeno published a new version.</t>
        </is>
      </c>
      <c r="E8" s="8" t="inlineStr"/>
      <c r="F8" s="8" t="inlineStr"/>
      <c r="G8" s="8" t="inlineStr"/>
    </row>
    <row r="9" ht="48" customHeight="1">
      <c r="A9" s="12" t="inlineStr">
        <is>
          <t>C1 Data isolation (critical)</t>
        </is>
      </c>
      <c r="B9" s="13" t="inlineStr">
        <is>
          <t>C1.1</t>
        </is>
      </c>
      <c r="C9" s="11" t="inlineStr">
        <is>
          <t>Open My Requests. Scan the list.</t>
        </is>
      </c>
      <c r="D9" s="11" t="inlineStr">
        <is>
          <t>Only your organisation's requests. No other company's request IDs.</t>
        </is>
      </c>
      <c r="E9" s="8" t="inlineStr"/>
      <c r="F9" s="8" t="inlineStr"/>
      <c r="G9" s="8" t="inlineStr"/>
    </row>
    <row r="10" ht="48" customHeight="1">
      <c r="A10" s="12" t="inlineStr">
        <is>
          <t>C1 Data isolation (critical)</t>
        </is>
      </c>
      <c r="B10" s="13" t="inlineStr">
        <is>
          <t>C1.2</t>
        </is>
      </c>
      <c r="C10" s="11" t="inlineStr">
        <is>
          <t>If Urbeno supplies another organisation's request ID, open it via the address bar.</t>
        </is>
      </c>
      <c r="D10" s="11" t="inlineStr">
        <is>
          <t>Access refused or redirected. Must not show another company's details.</t>
        </is>
      </c>
      <c r="E10" s="8" t="inlineStr"/>
      <c r="F10" s="8" t="inlineStr"/>
      <c r="G10" s="8" t="inlineStr"/>
    </row>
    <row r="11" ht="48" customHeight="1">
      <c r="A11" s="12" t="inlineStr">
        <is>
          <t>C1 Data isolation (critical)</t>
        </is>
      </c>
      <c r="B11" s="13" t="inlineStr">
        <is>
          <t>C1.3</t>
        </is>
      </c>
      <c r="C11" s="11" t="inlineStr">
        <is>
          <t>Open Reports (Request Summary / Invoice Register).</t>
        </is>
      </c>
      <c r="D11" s="11" t="inlineStr">
        <is>
          <t>Rows are your organisation only. No MRN Register for clients.</t>
        </is>
      </c>
      <c r="E11" s="8" t="inlineStr"/>
      <c r="F11" s="8" t="inlineStr"/>
      <c r="G11" s="8" t="inlineStr"/>
    </row>
    <row r="12" ht="48" customHeight="1">
      <c r="A12" s="12" t="inlineStr">
        <is>
          <t>C1 Data isolation (critical)</t>
        </is>
      </c>
      <c r="B12" s="13" t="inlineStr">
        <is>
          <t>C1.4</t>
        </is>
      </c>
      <c r="C12" s="11" t="inlineStr">
        <is>
          <t>Try /masters, /audit, /compliance, /capacity on the portal URL.</t>
        </is>
      </c>
      <c r="D12" s="11" t="inlineStr">
        <is>
          <t>Redirected or access denied. No restricted data shown.</t>
        </is>
      </c>
      <c r="E12" s="8" t="inlineStr"/>
      <c r="F12" s="8" t="inlineStr"/>
      <c r="G12" s="8" t="inlineStr"/>
    </row>
    <row r="13" ht="48" customHeight="1">
      <c r="A13" s="12" t="inlineStr">
        <is>
          <t>C2 Raise a collection request (Stage 1)</t>
        </is>
      </c>
      <c r="B13" s="13" t="inlineStr">
        <is>
          <t>C2.1</t>
        </is>
      </c>
      <c r="C13" s="11" t="inlineStr">
        <is>
          <t>Home or My Requests → + New Request.</t>
        </is>
      </c>
      <c r="D13" s="11" t="inlineStr">
        <is>
          <t>Form opens. Organisation implied. Site / location required.</t>
        </is>
      </c>
      <c r="E13" s="8" t="inlineStr"/>
      <c r="F13" s="8" t="inlineStr"/>
      <c r="G13" s="8" t="inlineStr"/>
    </row>
    <row r="14" ht="48" customHeight="1">
      <c r="A14" s="12" t="inlineStr">
        <is>
          <t>C2 Raise a collection request (Stage 1)</t>
        </is>
      </c>
      <c r="B14" s="13" t="inlineStr">
        <is>
          <t>C2.2</t>
        </is>
      </c>
      <c r="C14" s="11" t="inlineStr">
        <is>
          <t>Submit with required fields empty.</t>
        </is>
      </c>
      <c r="D14" s="11" t="inlineStr">
        <is>
          <t>Form does not submit; clear validation messages appear.</t>
        </is>
      </c>
      <c r="E14" s="8" t="inlineStr"/>
      <c r="F14" s="8" t="inlineStr"/>
      <c r="G14" s="8" t="inlineStr"/>
    </row>
    <row r="15" ht="48" customHeight="1">
      <c r="A15" s="12" t="inlineStr">
        <is>
          <t>C2 Raise a collection request (Stage 1)</t>
        </is>
      </c>
      <c r="B15" s="13" t="inlineStr">
        <is>
          <t>C2.3</t>
        </is>
      </c>
      <c r="C15" s="11" t="inlineStr">
        <is>
          <t>Fill pickup location, approx. quantity &amp; weight, at least one line item; optional PO/notes. Submit.</t>
        </is>
      </c>
      <c r="D15" s="11" t="inlineStr">
        <is>
          <t>New REQ-##### at Stage 1 (awaiting acknowledgement). Record ID in Session sheet.</t>
        </is>
      </c>
      <c r="E15" s="8" t="inlineStr"/>
      <c r="F15" s="8" t="inlineStr"/>
      <c r="G15" s="8" t="inlineStr"/>
    </row>
    <row r="16" ht="48" customHeight="1">
      <c r="A16" s="12" t="inlineStr">
        <is>
          <t>C2 Raise a collection request (Stage 1)</t>
        </is>
      </c>
      <c r="B16" s="13" t="inlineStr">
        <is>
          <t>C2.4</t>
        </is>
      </c>
      <c r="C16" s="11" t="inlineStr">
        <is>
          <t>Check header / actions on the new request.</t>
        </is>
      </c>
      <c r="D16" s="11" t="inlineStr">
        <is>
          <t>Organisation, site, raised date, raised-by correct. No Acknowledge / Assign Vehicle / Weigh / Raise Invoice.</t>
        </is>
      </c>
      <c r="E16" s="8" t="inlineStr"/>
      <c r="F16" s="8" t="inlineStr"/>
      <c r="G16" s="8" t="inlineStr"/>
    </row>
    <row r="17" ht="48" customHeight="1">
      <c r="A17" s="12" t="inlineStr">
        <is>
          <t>C3 Changes requested &amp; resubmit (needs Urbeno; else N/A)</t>
        </is>
      </c>
      <c r="B17" s="13" t="inlineStr">
        <is>
          <t>C3.1</t>
        </is>
      </c>
      <c r="C17" s="11" t="inlineStr">
        <is>
          <t>After Urbeno requests changes: open the request.</t>
        </is>
      </c>
      <c r="D17" s="11" t="inlineStr">
        <is>
          <t>Status / badge shows changes requested; admin note visible.</t>
        </is>
      </c>
      <c r="E17" s="8" t="inlineStr"/>
      <c r="F17" s="8" t="inlineStr"/>
      <c r="G17" s="8" t="inlineStr"/>
    </row>
    <row r="18" ht="48" customHeight="1">
      <c r="A18" s="12" t="inlineStr">
        <is>
          <t>C3 Changes requested &amp; resubmit (needs Urbeno; else N/A)</t>
        </is>
      </c>
      <c r="B18" s="13" t="inlineStr">
        <is>
          <t>C3.2</t>
        </is>
      </c>
      <c r="C18" s="11" t="inlineStr">
        <is>
          <t>Edit pickup details → save / resubmit.</t>
        </is>
      </c>
      <c r="D18" s="11" t="inlineStr">
        <is>
          <t>Sent back to Urbeno. Stage remains awaiting acknowledgement. Still cannot Acknowledge.</t>
        </is>
      </c>
      <c r="E18" s="8" t="inlineStr"/>
      <c r="F18" s="8" t="inlineStr"/>
      <c r="G18" s="8" t="inlineStr"/>
    </row>
    <row r="19" ht="48" customHeight="1">
      <c r="A19" s="12" t="inlineStr">
        <is>
          <t>C4 Visibility while staff process (Stages 2–8)</t>
        </is>
      </c>
      <c r="B19" s="13" t="inlineStr">
        <is>
          <t>C4.1</t>
        </is>
      </c>
      <c r="C19" s="11" t="inlineStr">
        <is>
          <t>After ack / vehicle / weighment / invoice: refresh the request.</t>
        </is>
      </c>
      <c r="D19" s="11" t="inlineStr">
        <is>
          <t>Stage badge advances. Vehicle and invoice details appear when ready.</t>
        </is>
      </c>
      <c r="E19" s="8" t="inlineStr"/>
      <c r="F19" s="8" t="inlineStr"/>
      <c r="G19" s="8" t="inlineStr"/>
    </row>
    <row r="20" ht="48" customHeight="1">
      <c r="A20" s="12" t="inlineStr">
        <is>
          <t>C4 Visibility while staff process (Stages 2–8)</t>
        </is>
      </c>
      <c r="B20" s="13" t="inlineStr">
        <is>
          <t>C4.2</t>
        </is>
      </c>
      <c r="C20" s="11" t="inlineStr">
        <is>
          <t>Inspect invoice / processing panels.</t>
        </is>
      </c>
      <c r="D20" s="11" t="inlineStr">
        <is>
          <t>Progress visible. No MRN number, Create MRN, or factory security-officer MRN fields.</t>
        </is>
      </c>
      <c r="E20" s="8" t="inlineStr"/>
      <c r="F20" s="8" t="inlineStr"/>
      <c r="G20" s="8" t="inlineStr"/>
    </row>
    <row r="21" ht="48" customHeight="1">
      <c r="A21" s="12" t="inlineStr">
        <is>
          <t>C4 Visibility while staff process (Stages 2–8)</t>
        </is>
      </c>
      <c r="B21" s="13" t="inlineStr">
        <is>
          <t>C4.3</t>
        </is>
      </c>
      <c r="C21" s="11" t="inlineStr">
        <is>
          <t>After recycling / Form 6 (factory).</t>
        </is>
      </c>
      <c r="D21" s="11" t="inlineStr">
        <is>
          <t>Processing progressed; you are not asked to issue Form 6.</t>
        </is>
      </c>
      <c r="E21" s="8" t="inlineStr"/>
      <c r="F21" s="8" t="inlineStr"/>
      <c r="G21" s="8" t="inlineStr"/>
    </row>
    <row r="22" ht="48" customHeight="1">
      <c r="A22" s="12" t="inlineStr">
        <is>
          <t>C4 Visibility while staff process (Stages 2–8)</t>
        </is>
      </c>
      <c r="B22" s="13" t="inlineStr">
        <is>
          <t>C4.4</t>
        </is>
      </c>
      <c r="C22" s="11" t="inlineStr">
        <is>
          <t>After certificate upload (Urbeno).</t>
        </is>
      </c>
      <c r="D22" s="11" t="inlineStr">
        <is>
          <t>Certificate reference/date visible. No Upload Certificate for you.</t>
        </is>
      </c>
      <c r="E22" s="8" t="inlineStr"/>
      <c r="F22" s="8" t="inlineStr"/>
      <c r="G22" s="8" t="inlineStr"/>
    </row>
    <row r="23" ht="48" customHeight="1">
      <c r="A23" s="12" t="inlineStr">
        <is>
          <t>C4 Visibility while staff process (Stages 2–8)</t>
        </is>
      </c>
      <c r="B23" s="13" t="inlineStr">
        <is>
          <t>C4.5</t>
        </is>
      </c>
      <c r="C23" s="11" t="inlineStr">
        <is>
          <t>Try Review &amp; Close before payment is complete (if button appears).</t>
        </is>
      </c>
      <c r="D23" s="11" t="inlineStr">
        <is>
          <t>Close unavailable or refused until payment is recorded.</t>
        </is>
      </c>
      <c r="E23" s="8" t="inlineStr"/>
      <c r="F23" s="8" t="inlineStr"/>
      <c r="G23" s="8" t="inlineStr"/>
    </row>
    <row r="24" ht="48" customHeight="1">
      <c r="A24" s="12" t="inlineStr">
        <is>
          <t>C5 Close the request (Stage 9)</t>
        </is>
      </c>
      <c r="B24" s="13" t="inlineStr">
        <is>
          <t>C5.1</t>
        </is>
      </c>
      <c r="C24" s="11" t="inlineStr">
        <is>
          <t>When certificate exists AND payment is recorded: Review &amp; Close.</t>
        </is>
      </c>
      <c r="D24" s="11" t="inlineStr">
        <is>
          <t>Closure confirmation modal opens.</t>
        </is>
      </c>
      <c r="E24" s="8" t="inlineStr"/>
      <c r="F24" s="8" t="inlineStr"/>
      <c r="G24" s="8" t="inlineStr"/>
    </row>
    <row r="25" ht="48" customHeight="1">
      <c r="A25" s="12" t="inlineStr">
        <is>
          <t>C5 Close the request (Stage 9)</t>
        </is>
      </c>
      <c r="B25" s="13" t="inlineStr">
        <is>
          <t>C5.2</t>
        </is>
      </c>
      <c r="C25" s="11" t="inlineStr">
        <is>
          <t>Acknowledge closure.</t>
        </is>
      </c>
      <c r="D25" s="11" t="inlineStr">
        <is>
          <t>Invoice/request closed. Stage shows Closed / Stage 9.</t>
        </is>
      </c>
      <c r="E25" s="8" t="inlineStr"/>
      <c r="F25" s="8" t="inlineStr"/>
      <c r="G25" s="8" t="inlineStr"/>
    </row>
    <row r="26" ht="48" customHeight="1">
      <c r="A26" s="12" t="inlineStr">
        <is>
          <t>C5 Close the request (Stage 9)</t>
        </is>
      </c>
      <c r="B26" s="13" t="inlineStr">
        <is>
          <t>C5.3</t>
        </is>
      </c>
      <c r="C26" s="11" t="inlineStr">
        <is>
          <t>Check Home completed / closed counts.</t>
        </is>
      </c>
      <c r="D26" s="11" t="inlineStr">
        <is>
          <t>Counts reflect the closed work.</t>
        </is>
      </c>
      <c r="E26" s="8" t="inlineStr"/>
      <c r="F26" s="8" t="inlineStr"/>
      <c r="G26" s="8" t="inlineStr"/>
    </row>
    <row r="27" ht="48" customHeight="1">
      <c r="A27" s="12" t="inlineStr">
        <is>
          <t>C6 Home, Sustainability, Recycling Heroes</t>
        </is>
      </c>
      <c r="B27" s="13" t="inlineStr">
        <is>
          <t>C6.1</t>
        </is>
      </c>
      <c r="C27" s="11" t="inlineStr">
        <is>
          <t>Open Home.</t>
        </is>
      </c>
      <c r="D27" s="11" t="inlineStr">
        <is>
          <t>Open/completed tiles and impact figures load. + New Request available.</t>
        </is>
      </c>
      <c r="E27" s="8" t="inlineStr"/>
      <c r="F27" s="8" t="inlineStr"/>
      <c r="G27" s="8" t="inlineStr"/>
    </row>
    <row r="28" ht="48" customHeight="1">
      <c r="A28" s="12" t="inlineStr">
        <is>
          <t>C6 Home, Sustainability, Recycling Heroes</t>
        </is>
      </c>
      <c r="B28" s="13" t="inlineStr">
        <is>
          <t>C6.2</t>
        </is>
      </c>
      <c r="C28" s="11" t="inlineStr">
        <is>
          <t>Open Sustainability.</t>
        </is>
      </c>
      <c r="D28" s="11" t="inlineStr">
        <is>
          <t>Impact figures load; explanatory text / Impact PDF (if offered) open without error. Reflects closed work.</t>
        </is>
      </c>
      <c r="E28" s="8" t="inlineStr"/>
      <c r="F28" s="8" t="inlineStr"/>
      <c r="G28" s="8" t="inlineStr"/>
    </row>
    <row r="29" ht="48" customHeight="1">
      <c r="A29" s="12" t="inlineStr">
        <is>
          <t>C6 Home, Sustainability, Recycling Heroes</t>
        </is>
      </c>
      <c r="B29" s="13" t="inlineStr">
        <is>
          <t>C6.3</t>
        </is>
      </c>
      <c r="C29" s="11" t="inlineStr">
        <is>
          <t>Open Recycling Heroes.</t>
        </is>
      </c>
      <c r="D29" s="11" t="inlineStr">
        <is>
          <t>Tree / tonnage view loads.</t>
        </is>
      </c>
      <c r="E29" s="8" t="inlineStr"/>
      <c r="F29" s="8" t="inlineStr"/>
      <c r="G29" s="8" t="inlineStr"/>
    </row>
    <row r="30" ht="48" customHeight="1">
      <c r="A30" s="12" t="inlineStr">
        <is>
          <t>C7 Reports &amp; export</t>
        </is>
      </c>
      <c r="B30" s="13" t="inlineStr">
        <is>
          <t>C7.1</t>
        </is>
      </c>
      <c r="C30" s="11" t="inlineStr">
        <is>
          <t>Reports → Request Summary → Export CSV (if available).</t>
        </is>
      </c>
      <c r="D30" s="11" t="inlineStr">
        <is>
          <t>File downloads; contains only your organisation's rows.</t>
        </is>
      </c>
      <c r="E30" s="8" t="inlineStr"/>
      <c r="F30" s="8" t="inlineStr"/>
      <c r="G30" s="8" t="inlineStr"/>
    </row>
    <row r="31" ht="48" customHeight="1">
      <c r="A31" s="12" t="inlineStr">
        <is>
          <t>C7 Reports &amp; export</t>
        </is>
      </c>
      <c r="B31" s="13" t="inlineStr">
        <is>
          <t>C7.2</t>
        </is>
      </c>
      <c r="C31" s="11" t="inlineStr">
        <is>
          <t>Try Invoice Register, Certificate Log, Sustainability, Recycling Heroes reports.</t>
        </is>
      </c>
      <c r="D31" s="11" t="inlineStr">
        <is>
          <t>Each runs without error. No MRN register.</t>
        </is>
      </c>
      <c r="E31" s="8" t="inlineStr"/>
      <c r="F31" s="8" t="inlineStr"/>
      <c r="G31" s="8" t="inlineStr"/>
    </row>
    <row r="32" ht="48" customHeight="1">
      <c r="A32" s="12" t="inlineStr">
        <is>
          <t>C7 Reports &amp; export</t>
        </is>
      </c>
      <c r="B32" s="13" t="inlineStr">
        <is>
          <t>C7.3</t>
        </is>
      </c>
      <c r="C32" s="11" t="inlineStr">
        <is>
          <t>Change period (FY / month) if shown.</t>
        </is>
      </c>
      <c r="D32" s="11" t="inlineStr">
        <is>
          <t>Figures refresh; still no other organisation's data.</t>
        </is>
      </c>
      <c r="E32" s="8" t="inlineStr"/>
      <c r="F32" s="8" t="inlineStr"/>
      <c r="G32" s="8" t="inlineStr"/>
    </row>
    <row r="33" ht="48" customHeight="1">
      <c r="A33" s="12" t="inlineStr">
        <is>
          <t>C8 Profile / password (optional — do last)</t>
        </is>
      </c>
      <c r="B33" s="13" t="inlineStr">
        <is>
          <t>C8.1</t>
        </is>
      </c>
      <c r="C33" s="11" t="inlineStr">
        <is>
          <t>Profile → try a weak password (e.g. short).</t>
        </is>
      </c>
      <c r="D33" s="11" t="inlineStr">
        <is>
          <t>Refused; policy requires 10+ chars, upper, lower, digit.</t>
        </is>
      </c>
      <c r="E33" s="8" t="inlineStr"/>
      <c r="F33" s="8" t="inlineStr"/>
      <c r="G33" s="8" t="inlineStr"/>
    </row>
    <row r="34" ht="48" customHeight="1">
      <c r="A34" s="12" t="inlineStr">
        <is>
          <t>C8 Profile / password (optional — do last)</t>
        </is>
      </c>
      <c r="B34" s="13" t="inlineStr">
        <is>
          <t>C8.2</t>
        </is>
      </c>
      <c r="C34" s="11" t="inlineStr">
        <is>
          <t>Successful password change.</t>
        </is>
      </c>
      <c r="D34" s="11" t="inlineStr">
        <is>
          <t>Only if Urbeno asked you to change it; otherwise mark N/A.</t>
        </is>
      </c>
      <c r="E34" s="8" t="inlineStr"/>
      <c r="F34" s="8" t="inlineStr"/>
      <c r="G34" s="8" t="inlineStr"/>
    </row>
    <row r="36">
      <c r="A36" s="14" t="inlineStr">
        <is>
          <t>Quick counts (auto)</t>
        </is>
      </c>
    </row>
    <row r="37">
      <c r="A37" t="inlineStr">
        <is>
          <t>Pass</t>
        </is>
      </c>
      <c r="B37">
        <f>COUNTIF(E4:E34,"Pass")</f>
        <v/>
      </c>
    </row>
    <row r="38">
      <c r="A38" t="inlineStr">
        <is>
          <t>Fail</t>
        </is>
      </c>
      <c r="B38">
        <f>COUNTIF(E4:E34,"Fail")</f>
        <v/>
      </c>
    </row>
    <row r="39">
      <c r="A39" t="inlineStr">
        <is>
          <t>N/A</t>
        </is>
      </c>
      <c r="B39">
        <f>COUNTIF(E4:E34,"N/A")</f>
        <v/>
      </c>
    </row>
    <row r="40">
      <c r="A40" t="inlineStr">
        <is>
          <t>Blocked</t>
        </is>
      </c>
      <c r="B40">
        <f>COUNTIF(E4:E34,"Blocked")</f>
        <v/>
      </c>
    </row>
    <row r="41">
      <c r="A41" t="inlineStr">
        <is>
          <t>Blank (not yet tested)</t>
        </is>
      </c>
      <c r="B41">
        <f>COUNTBLANK(E4:E34)</f>
        <v/>
      </c>
    </row>
  </sheetData>
  <autoFilter ref="A3:G34"/>
  <mergeCells count="1">
    <mergeCell ref="A1:G1"/>
  </mergeCells>
  <dataValidations count="1">
    <dataValidation sqref="E4 E5 E6 E7 E8 E9 E10 E11 E12 E13 E14 E15 E16 E17 E18 E19 E20 E21 E22 E23 E24 E25 E26 E27 E28 E29 E30 E31 E32 E33 E34" showDropDown="0" showInputMessage="0" showErrorMessage="0" allowBlank="1" errorTitle="Invalid result" error="Select Pass, Fail, N/A, or Blocked" type="list">
      <formula1>"Pass,Fail,N/A,Blocked"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5" customWidth="1" min="4" max="4"/>
    <col width="28" customWidth="1" min="5" max="5"/>
    <col width="35" customWidth="1" min="6" max="6"/>
    <col width="12" customWidth="1" min="7" max="7"/>
    <col width="22" customWidth="1" min="8" max="8"/>
  </cols>
  <sheetData>
    <row r="1">
      <c r="A1" s="1" t="inlineStr">
        <is>
          <t>Findings log — one row per Fail / Blocked / notable observation</t>
        </is>
      </c>
    </row>
    <row r="3">
      <c r="A3" s="6" t="inlineStr">
        <is>
          <t>Finding ID</t>
        </is>
      </c>
      <c r="B3" s="6" t="inlineStr">
        <is>
          <t>Case ID</t>
        </is>
      </c>
      <c r="C3" s="6" t="inlineStr">
        <is>
          <t>Severity</t>
        </is>
      </c>
      <c r="D3" s="6" t="inlineStr">
        <is>
          <t>Summary (what you saw vs expected)</t>
        </is>
      </c>
      <c r="E3" s="6" t="inlineStr">
        <is>
          <t>Screenshot / attachment name</t>
        </is>
      </c>
      <c r="F3" s="6" t="inlineStr">
        <is>
          <t>Steps to reproduce</t>
        </is>
      </c>
      <c r="G3" s="6" t="inlineStr">
        <is>
          <t>Status</t>
        </is>
      </c>
      <c r="H3" s="6" t="inlineStr">
        <is>
          <t>Owner / notes</t>
        </is>
      </c>
    </row>
    <row r="4" ht="36" customHeight="1">
      <c r="A4" s="12" t="inlineStr">
        <is>
          <t>F-001</t>
        </is>
      </c>
      <c r="B4" s="15" t="inlineStr"/>
      <c r="C4" s="15" t="inlineStr"/>
      <c r="D4" s="15" t="inlineStr"/>
      <c r="E4" s="15" t="inlineStr"/>
      <c r="F4" s="15" t="inlineStr"/>
      <c r="G4" s="15" t="inlineStr">
        <is>
          <t>Open</t>
        </is>
      </c>
      <c r="H4" s="15" t="inlineStr"/>
    </row>
    <row r="5" ht="36" customHeight="1">
      <c r="A5" s="12" t="inlineStr">
        <is>
          <t>F-002</t>
        </is>
      </c>
      <c r="B5" s="15" t="inlineStr"/>
      <c r="C5" s="15" t="inlineStr"/>
      <c r="D5" s="15" t="inlineStr"/>
      <c r="E5" s="15" t="inlineStr"/>
      <c r="F5" s="15" t="inlineStr"/>
      <c r="G5" s="15" t="inlineStr">
        <is>
          <t>Open</t>
        </is>
      </c>
      <c r="H5" s="15" t="inlineStr"/>
    </row>
    <row r="6" ht="36" customHeight="1">
      <c r="A6" s="12" t="inlineStr">
        <is>
          <t>F-003</t>
        </is>
      </c>
      <c r="B6" s="15" t="inlineStr"/>
      <c r="C6" s="15" t="inlineStr"/>
      <c r="D6" s="15" t="inlineStr"/>
      <c r="E6" s="15" t="inlineStr"/>
      <c r="F6" s="15" t="inlineStr"/>
      <c r="G6" s="15" t="inlineStr">
        <is>
          <t>Open</t>
        </is>
      </c>
      <c r="H6" s="15" t="inlineStr"/>
    </row>
    <row r="7" ht="36" customHeight="1">
      <c r="A7" s="12" t="inlineStr">
        <is>
          <t>F-004</t>
        </is>
      </c>
      <c r="B7" s="15" t="inlineStr"/>
      <c r="C7" s="15" t="inlineStr"/>
      <c r="D7" s="15" t="inlineStr"/>
      <c r="E7" s="15" t="inlineStr"/>
      <c r="F7" s="15" t="inlineStr"/>
      <c r="G7" s="15" t="inlineStr">
        <is>
          <t>Open</t>
        </is>
      </c>
      <c r="H7" s="15" t="inlineStr"/>
    </row>
    <row r="8" ht="36" customHeight="1">
      <c r="A8" s="12" t="inlineStr">
        <is>
          <t>F-005</t>
        </is>
      </c>
      <c r="B8" s="15" t="inlineStr"/>
      <c r="C8" s="15" t="inlineStr"/>
      <c r="D8" s="15" t="inlineStr"/>
      <c r="E8" s="15" t="inlineStr"/>
      <c r="F8" s="15" t="inlineStr"/>
      <c r="G8" s="15" t="inlineStr">
        <is>
          <t>Open</t>
        </is>
      </c>
      <c r="H8" s="15" t="inlineStr"/>
    </row>
    <row r="9" ht="36" customHeight="1">
      <c r="A9" s="12" t="inlineStr">
        <is>
          <t>F-006</t>
        </is>
      </c>
      <c r="B9" s="15" t="inlineStr"/>
      <c r="C9" s="15" t="inlineStr"/>
      <c r="D9" s="15" t="inlineStr"/>
      <c r="E9" s="15" t="inlineStr"/>
      <c r="F9" s="15" t="inlineStr"/>
      <c r="G9" s="15" t="inlineStr">
        <is>
          <t>Open</t>
        </is>
      </c>
      <c r="H9" s="15" t="inlineStr"/>
    </row>
    <row r="10" ht="36" customHeight="1">
      <c r="A10" s="12" t="inlineStr">
        <is>
          <t>F-007</t>
        </is>
      </c>
      <c r="B10" s="15" t="inlineStr"/>
      <c r="C10" s="15" t="inlineStr"/>
      <c r="D10" s="15" t="inlineStr"/>
      <c r="E10" s="15" t="inlineStr"/>
      <c r="F10" s="15" t="inlineStr"/>
      <c r="G10" s="15" t="inlineStr">
        <is>
          <t>Open</t>
        </is>
      </c>
      <c r="H10" s="15" t="inlineStr"/>
    </row>
    <row r="11" ht="36" customHeight="1">
      <c r="A11" s="12" t="inlineStr">
        <is>
          <t>F-008</t>
        </is>
      </c>
      <c r="B11" s="15" t="inlineStr"/>
      <c r="C11" s="15" t="inlineStr"/>
      <c r="D11" s="15" t="inlineStr"/>
      <c r="E11" s="15" t="inlineStr"/>
      <c r="F11" s="15" t="inlineStr"/>
      <c r="G11" s="15" t="inlineStr">
        <is>
          <t>Open</t>
        </is>
      </c>
      <c r="H11" s="15" t="inlineStr"/>
    </row>
    <row r="12" ht="36" customHeight="1">
      <c r="A12" s="12" t="inlineStr">
        <is>
          <t>F-009</t>
        </is>
      </c>
      <c r="B12" s="15" t="inlineStr"/>
      <c r="C12" s="15" t="inlineStr"/>
      <c r="D12" s="15" t="inlineStr"/>
      <c r="E12" s="15" t="inlineStr"/>
      <c r="F12" s="15" t="inlineStr"/>
      <c r="G12" s="15" t="inlineStr">
        <is>
          <t>Open</t>
        </is>
      </c>
      <c r="H12" s="15" t="inlineStr"/>
    </row>
    <row r="13" ht="36" customHeight="1">
      <c r="A13" s="12" t="inlineStr">
        <is>
          <t>F-010</t>
        </is>
      </c>
      <c r="B13" s="15" t="inlineStr"/>
      <c r="C13" s="15" t="inlineStr"/>
      <c r="D13" s="15" t="inlineStr"/>
      <c r="E13" s="15" t="inlineStr"/>
      <c r="F13" s="15" t="inlineStr"/>
      <c r="G13" s="15" t="inlineStr">
        <is>
          <t>Open</t>
        </is>
      </c>
      <c r="H13" s="15" t="inlineStr"/>
    </row>
    <row r="14" ht="36" customHeight="1">
      <c r="A14" s="12" t="inlineStr">
        <is>
          <t>F-011</t>
        </is>
      </c>
      <c r="B14" s="15" t="inlineStr"/>
      <c r="C14" s="15" t="inlineStr"/>
      <c r="D14" s="15" t="inlineStr"/>
      <c r="E14" s="15" t="inlineStr"/>
      <c r="F14" s="15" t="inlineStr"/>
      <c r="G14" s="15" t="inlineStr">
        <is>
          <t>Open</t>
        </is>
      </c>
      <c r="H14" s="15" t="inlineStr"/>
    </row>
    <row r="15" ht="36" customHeight="1">
      <c r="A15" s="12" t="inlineStr">
        <is>
          <t>F-012</t>
        </is>
      </c>
      <c r="B15" s="15" t="inlineStr"/>
      <c r="C15" s="15" t="inlineStr"/>
      <c r="D15" s="15" t="inlineStr"/>
      <c r="E15" s="15" t="inlineStr"/>
      <c r="F15" s="15" t="inlineStr"/>
      <c r="G15" s="15" t="inlineStr">
        <is>
          <t>Open</t>
        </is>
      </c>
      <c r="H15" s="15" t="inlineStr"/>
    </row>
    <row r="16" ht="36" customHeight="1">
      <c r="A16" s="12" t="inlineStr">
        <is>
          <t>F-013</t>
        </is>
      </c>
      <c r="B16" s="15" t="inlineStr"/>
      <c r="C16" s="15" t="inlineStr"/>
      <c r="D16" s="15" t="inlineStr"/>
      <c r="E16" s="15" t="inlineStr"/>
      <c r="F16" s="15" t="inlineStr"/>
      <c r="G16" s="15" t="inlineStr">
        <is>
          <t>Open</t>
        </is>
      </c>
      <c r="H16" s="15" t="inlineStr"/>
    </row>
    <row r="17" ht="36" customHeight="1">
      <c r="A17" s="12" t="inlineStr">
        <is>
          <t>F-014</t>
        </is>
      </c>
      <c r="B17" s="15" t="inlineStr"/>
      <c r="C17" s="15" t="inlineStr"/>
      <c r="D17" s="15" t="inlineStr"/>
      <c r="E17" s="15" t="inlineStr"/>
      <c r="F17" s="15" t="inlineStr"/>
      <c r="G17" s="15" t="inlineStr">
        <is>
          <t>Open</t>
        </is>
      </c>
      <c r="H17" s="15" t="inlineStr"/>
    </row>
    <row r="18" ht="36" customHeight="1">
      <c r="A18" s="12" t="inlineStr">
        <is>
          <t>F-015</t>
        </is>
      </c>
      <c r="B18" s="15" t="inlineStr"/>
      <c r="C18" s="15" t="inlineStr"/>
      <c r="D18" s="15" t="inlineStr"/>
      <c r="E18" s="15" t="inlineStr"/>
      <c r="F18" s="15" t="inlineStr"/>
      <c r="G18" s="15" t="inlineStr">
        <is>
          <t>Open</t>
        </is>
      </c>
      <c r="H18" s="15" t="inlineStr"/>
    </row>
    <row r="19" ht="36" customHeight="1">
      <c r="A19" s="12" t="inlineStr">
        <is>
          <t>F-016</t>
        </is>
      </c>
      <c r="B19" s="15" t="inlineStr"/>
      <c r="C19" s="15" t="inlineStr"/>
      <c r="D19" s="15" t="inlineStr"/>
      <c r="E19" s="15" t="inlineStr"/>
      <c r="F19" s="15" t="inlineStr"/>
      <c r="G19" s="15" t="inlineStr">
        <is>
          <t>Open</t>
        </is>
      </c>
      <c r="H19" s="15" t="inlineStr"/>
    </row>
    <row r="20" ht="36" customHeight="1">
      <c r="A20" s="12" t="inlineStr">
        <is>
          <t>F-017</t>
        </is>
      </c>
      <c r="B20" s="15" t="inlineStr"/>
      <c r="C20" s="15" t="inlineStr"/>
      <c r="D20" s="15" t="inlineStr"/>
      <c r="E20" s="15" t="inlineStr"/>
      <c r="F20" s="15" t="inlineStr"/>
      <c r="G20" s="15" t="inlineStr">
        <is>
          <t>Open</t>
        </is>
      </c>
      <c r="H20" s="15" t="inlineStr"/>
    </row>
    <row r="21" ht="36" customHeight="1">
      <c r="A21" s="12" t="inlineStr">
        <is>
          <t>F-018</t>
        </is>
      </c>
      <c r="B21" s="15" t="inlineStr"/>
      <c r="C21" s="15" t="inlineStr"/>
      <c r="D21" s="15" t="inlineStr"/>
      <c r="E21" s="15" t="inlineStr"/>
      <c r="F21" s="15" t="inlineStr"/>
      <c r="G21" s="15" t="inlineStr">
        <is>
          <t>Open</t>
        </is>
      </c>
      <c r="H21" s="15" t="inlineStr"/>
    </row>
    <row r="22" ht="36" customHeight="1">
      <c r="A22" s="12" t="inlineStr">
        <is>
          <t>F-019</t>
        </is>
      </c>
      <c r="B22" s="15" t="inlineStr"/>
      <c r="C22" s="15" t="inlineStr"/>
      <c r="D22" s="15" t="inlineStr"/>
      <c r="E22" s="15" t="inlineStr"/>
      <c r="F22" s="15" t="inlineStr"/>
      <c r="G22" s="15" t="inlineStr">
        <is>
          <t>Open</t>
        </is>
      </c>
      <c r="H22" s="15" t="inlineStr"/>
    </row>
    <row r="23" ht="36" customHeight="1">
      <c r="A23" s="12" t="inlineStr">
        <is>
          <t>F-020</t>
        </is>
      </c>
      <c r="B23" s="15" t="inlineStr"/>
      <c r="C23" s="15" t="inlineStr"/>
      <c r="D23" s="15" t="inlineStr"/>
      <c r="E23" s="15" t="inlineStr"/>
      <c r="F23" s="15" t="inlineStr"/>
      <c r="G23" s="15" t="inlineStr">
        <is>
          <t>Open</t>
        </is>
      </c>
      <c r="H23" s="15" t="inlineStr"/>
    </row>
    <row r="25">
      <c r="A25" s="5" t="inlineStr">
        <is>
          <t>Quote exact on-screen error or success messages in the Summary column.</t>
        </is>
      </c>
    </row>
  </sheetData>
  <mergeCells count="2">
    <mergeCell ref="A25:H25"/>
    <mergeCell ref="A1:H1"/>
  </mergeCells>
  <dataValidations count="2">
    <dataValidation sqref="C4 C5 C6 C7 C8 C9 C10 C11 C12 C13 C14 C15 C16 C17 C18 C19 C20 C21 C22 C23" showDropDown="0" showInputMessage="0" showErrorMessage="0" allowBlank="1" type="list">
      <formula1>"Blocker,Major,Minor,Cosmetic"</formula1>
    </dataValidation>
    <dataValidation sqref="G4 G5 G6 G7 G8 G9 G10 G11 G12 G13 G14 G15 G16 G17 G18 G19 G20 G21 G22 G23" showDropDown="0" showInputMessage="0" showErrorMessage="0" allowBlank="1" type="list">
      <formula1>"Open,Fixed,Waived,Deferred"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</cols>
  <sheetData>
    <row r="1">
      <c r="A1" s="1" t="inlineStr">
        <is>
          <t>Summary and sign-off</t>
        </is>
      </c>
    </row>
    <row r="3">
      <c r="A3" s="6" t="inlineStr">
        <is>
          <t>Metric</t>
        </is>
      </c>
      <c r="B3" s="6" t="inlineStr">
        <is>
          <t>Count / answer</t>
        </is>
      </c>
    </row>
    <row r="4" ht="22" customHeight="1">
      <c r="A4" s="7" t="inlineStr">
        <is>
          <t>Cases on Checklist</t>
        </is>
      </c>
      <c r="B4" s="16" t="inlineStr">
        <is>
          <t>31</t>
        </is>
      </c>
    </row>
    <row r="5" ht="22" customHeight="1">
      <c r="A5" s="7" t="inlineStr">
        <is>
          <t>Pass</t>
        </is>
      </c>
      <c r="B5" s="16">
        <f>COUNTIF(Checklist!E4:E34,"Pass")</f>
        <v/>
      </c>
    </row>
    <row r="6" ht="22" customHeight="1">
      <c r="A6" s="7" t="inlineStr">
        <is>
          <t>Fail</t>
        </is>
      </c>
      <c r="B6" s="16">
        <f>COUNTIF(Checklist!E4:E34,"Fail")</f>
        <v/>
      </c>
    </row>
    <row r="7" ht="22" customHeight="1">
      <c r="A7" s="7" t="inlineStr">
        <is>
          <t>N/A</t>
        </is>
      </c>
      <c r="B7" s="16">
        <f>COUNTIF(Checklist!E4:E34,"N/A")</f>
        <v/>
      </c>
    </row>
    <row r="8" ht="22" customHeight="1">
      <c r="A8" s="7" t="inlineStr">
        <is>
          <t>Blocked</t>
        </is>
      </c>
      <c r="B8" s="16">
        <f>COUNTIF(Checklist!E4:E34,"Blocked")</f>
        <v/>
      </c>
    </row>
    <row r="9" ht="22" customHeight="1">
      <c r="A9" s="7" t="inlineStr">
        <is>
          <t>Not yet tested</t>
        </is>
      </c>
      <c r="B9" s="16">
        <f>COUNTBLANK(Checklist!E4:E34)</f>
        <v/>
      </c>
    </row>
    <row r="10" ht="22" customHeight="1">
      <c r="A10" s="7" t="inlineStr">
        <is>
          <t>Open Blockers (enter manually)</t>
        </is>
      </c>
      <c r="B10" s="16" t="inlineStr"/>
    </row>
    <row r="11" ht="22" customHeight="1">
      <c r="A11" s="7" t="inlineStr">
        <is>
          <t>Open Majors (enter manually)</t>
        </is>
      </c>
      <c r="B11" s="16" t="inlineStr"/>
    </row>
    <row r="12" ht="22" customHeight="1">
      <c r="A12" s="7" t="inlineStr">
        <is>
          <t>Blockers found? (No / Yes — IDs)</t>
        </is>
      </c>
      <c r="B12" s="16" t="inlineStr"/>
    </row>
    <row r="13" ht="22" customHeight="1">
      <c r="A13" s="7" t="inlineStr">
        <is>
          <t>Fit for production as a client user? (Yes / Yes with waivers / No)</t>
        </is>
      </c>
      <c r="B13" s="16" t="inlineStr"/>
    </row>
    <row r="14" ht="22" customHeight="1">
      <c r="A14" s="7" t="inlineStr">
        <is>
          <t>Overall comments</t>
        </is>
      </c>
      <c r="B14" s="16" t="inlineStr"/>
    </row>
    <row r="16">
      <c r="A16" s="14" t="inlineStr">
        <is>
          <t>Declaration</t>
        </is>
      </c>
    </row>
    <row r="17" ht="40" customHeight="1">
      <c r="A17" s="17" t="inlineStr">
        <is>
          <t>I confirm I executed this checklist on the UAT portal and that the results and findings are accurate. I have not recorded any passwords in this workbook.</t>
        </is>
      </c>
    </row>
    <row r="19">
      <c r="A19" s="6" t="inlineStr">
        <is>
          <t>Field</t>
        </is>
      </c>
      <c r="B19" s="6" t="inlineStr">
        <is>
          <t>Entry</t>
        </is>
      </c>
    </row>
    <row r="20">
      <c r="A20" s="7" t="inlineStr">
        <is>
          <t>Tester name</t>
        </is>
      </c>
      <c r="B20" s="8" t="inlineStr"/>
    </row>
    <row r="21">
      <c r="A21" s="7" t="inlineStr">
        <is>
          <t>Organisation</t>
        </is>
      </c>
      <c r="B21" s="8" t="inlineStr"/>
    </row>
    <row r="22">
      <c r="A22" s="7" t="inlineStr">
        <is>
          <t>Signature / typed name</t>
        </is>
      </c>
      <c r="B22" s="8" t="inlineStr"/>
    </row>
    <row r="23">
      <c r="A23" s="7" t="inlineStr">
        <is>
          <t>Date</t>
        </is>
      </c>
      <c r="B23" s="8" t="inlineStr"/>
    </row>
    <row r="24">
      <c r="A24" s="7" t="inlineStr">
        <is>
          <t>Client sponsor (optional)</t>
        </is>
      </c>
      <c r="B24" s="8" t="inlineStr"/>
    </row>
    <row r="26">
      <c r="A26" s="5" t="inlineStr">
        <is>
          <t>Return this file to info@urbeno.in</t>
        </is>
      </c>
    </row>
  </sheetData>
  <mergeCells count="3">
    <mergeCell ref="A26:B26"/>
    <mergeCell ref="A1:B1"/>
    <mergeCell ref="A17:B17"/>
  </mergeCells>
  <dataValidations count="1">
    <dataValidation sqref="B13" showDropDown="0" showInputMessage="0" showErrorMessage="0" allowBlank="1" type="list">
      <formula1>"Yes,Yes with waivers,No"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2026-08-27T15:31:32Z</dcterms:created>
  <dcterms:modified xsi:type="dcterms:W3CDTF">2026-08-27T15:31:32Z</dcterms:modified>
</cp:coreProperties>
</file>